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20730" windowHeight="11160"/>
  </bookViews>
  <sheets>
    <sheet name="Micro-WEDM  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1" i="4" l="1"/>
  <c r="L31" i="4"/>
  <c r="K31" i="4"/>
  <c r="J31" i="4"/>
  <c r="M30" i="4"/>
  <c r="L30" i="4"/>
  <c r="K30" i="4"/>
  <c r="J30" i="4"/>
  <c r="M29" i="4"/>
  <c r="L29" i="4"/>
  <c r="K29" i="4"/>
  <c r="J29" i="4"/>
  <c r="M28" i="4"/>
  <c r="L28" i="4"/>
  <c r="K28" i="4"/>
  <c r="J28" i="4"/>
  <c r="M27" i="4"/>
  <c r="L27" i="4"/>
  <c r="K27" i="4"/>
  <c r="J27" i="4"/>
  <c r="M26" i="4"/>
  <c r="L26" i="4"/>
  <c r="K26" i="4"/>
  <c r="J26" i="4"/>
  <c r="M25" i="4"/>
  <c r="L25" i="4"/>
  <c r="K25" i="4"/>
  <c r="J25" i="4"/>
  <c r="M24" i="4"/>
  <c r="L24" i="4"/>
  <c r="K24" i="4"/>
  <c r="J24" i="4"/>
  <c r="M23" i="4"/>
  <c r="L23" i="4"/>
  <c r="K23" i="4"/>
  <c r="J23" i="4"/>
  <c r="M22" i="4"/>
  <c r="L22" i="4"/>
  <c r="K22" i="4"/>
  <c r="J22" i="4"/>
  <c r="M21" i="4"/>
  <c r="L21" i="4"/>
  <c r="K21" i="4"/>
  <c r="J21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M12" i="4"/>
  <c r="L12" i="4"/>
  <c r="K12" i="4"/>
  <c r="J12" i="4"/>
  <c r="M11" i="4"/>
  <c r="L11" i="4"/>
  <c r="K11" i="4"/>
  <c r="J11" i="4"/>
  <c r="M10" i="4"/>
  <c r="L10" i="4"/>
  <c r="K10" i="4"/>
  <c r="J10" i="4"/>
  <c r="M9" i="4"/>
  <c r="L9" i="4"/>
  <c r="K9" i="4"/>
  <c r="J9" i="4"/>
  <c r="M8" i="4"/>
  <c r="L8" i="4"/>
  <c r="K8" i="4"/>
  <c r="J8" i="4"/>
  <c r="M7" i="4"/>
  <c r="L7" i="4"/>
  <c r="K7" i="4"/>
  <c r="J7" i="4"/>
  <c r="M6" i="4"/>
  <c r="L6" i="4"/>
  <c r="K6" i="4"/>
  <c r="J6" i="4"/>
  <c r="M5" i="4"/>
  <c r="L5" i="4"/>
  <c r="K5" i="4"/>
  <c r="J5" i="4"/>
  <c r="M4" i="4"/>
  <c r="L4" i="4"/>
  <c r="K4" i="4"/>
  <c r="J4" i="4"/>
  <c r="L32" i="4" l="1"/>
  <c r="L34" i="4" s="1"/>
  <c r="L33" i="4"/>
  <c r="N23" i="4"/>
  <c r="R23" i="4" s="1"/>
  <c r="V23" i="4" s="1"/>
  <c r="K33" i="4"/>
  <c r="K32" i="4"/>
  <c r="N30" i="4"/>
  <c r="R30" i="4" s="1"/>
  <c r="V30" i="4" s="1"/>
  <c r="M32" i="4"/>
  <c r="J33" i="4"/>
  <c r="N5" i="4" s="1"/>
  <c r="R5" i="4" s="1"/>
  <c r="V5" i="4" s="1"/>
  <c r="J32" i="4"/>
  <c r="J34" i="4" s="1"/>
  <c r="N22" i="4" s="1"/>
  <c r="R22" i="4" s="1"/>
  <c r="V22" i="4" s="1"/>
  <c r="N10" i="4"/>
  <c r="R10" i="4" s="1"/>
  <c r="V10" i="4" s="1"/>
  <c r="N27" i="4"/>
  <c r="R27" i="4" s="1"/>
  <c r="V27" i="4" s="1"/>
  <c r="N17" i="4"/>
  <c r="R17" i="4" s="1"/>
  <c r="V17" i="4" s="1"/>
  <c r="M33" i="4"/>
  <c r="N12" i="4"/>
  <c r="R12" i="4" s="1"/>
  <c r="V12" i="4" s="1"/>
  <c r="N25" i="4"/>
  <c r="R25" i="4" s="1"/>
  <c r="V25" i="4" s="1"/>
  <c r="N28" i="4"/>
  <c r="R28" i="4" s="1"/>
  <c r="V28" i="4" s="1"/>
  <c r="N13" i="4"/>
  <c r="R13" i="4" s="1"/>
  <c r="V13" i="4" s="1"/>
  <c r="N16" i="4"/>
  <c r="R16" i="4" s="1"/>
  <c r="V16" i="4" s="1"/>
  <c r="N21" i="4"/>
  <c r="R21" i="4" s="1"/>
  <c r="V21" i="4" s="1"/>
  <c r="N24" i="4"/>
  <c r="R24" i="4" s="1"/>
  <c r="V24" i="4" s="1"/>
  <c r="N29" i="4"/>
  <c r="R29" i="4" s="1"/>
  <c r="V29" i="4" s="1"/>
  <c r="P13" i="4" l="1"/>
  <c r="T13" i="4" s="1"/>
  <c r="X13" i="4" s="1"/>
  <c r="P30" i="4"/>
  <c r="T30" i="4" s="1"/>
  <c r="X30" i="4" s="1"/>
  <c r="P16" i="4"/>
  <c r="T16" i="4" s="1"/>
  <c r="X16" i="4" s="1"/>
  <c r="P4" i="4"/>
  <c r="T4" i="4" s="1"/>
  <c r="X4" i="4" s="1"/>
  <c r="P18" i="4"/>
  <c r="T18" i="4" s="1"/>
  <c r="X18" i="4" s="1"/>
  <c r="P25" i="4"/>
  <c r="T25" i="4" s="1"/>
  <c r="X25" i="4" s="1"/>
  <c r="P27" i="4"/>
  <c r="T27" i="4" s="1"/>
  <c r="X27" i="4" s="1"/>
  <c r="P24" i="4"/>
  <c r="T24" i="4" s="1"/>
  <c r="X24" i="4" s="1"/>
  <c r="P8" i="4"/>
  <c r="T8" i="4" s="1"/>
  <c r="X8" i="4" s="1"/>
  <c r="P6" i="4"/>
  <c r="T6" i="4" s="1"/>
  <c r="X6" i="4" s="1"/>
  <c r="P21" i="4"/>
  <c r="T21" i="4" s="1"/>
  <c r="X21" i="4" s="1"/>
  <c r="P28" i="4"/>
  <c r="T28" i="4" s="1"/>
  <c r="X28" i="4" s="1"/>
  <c r="P12" i="4"/>
  <c r="T12" i="4" s="1"/>
  <c r="X12" i="4" s="1"/>
  <c r="P17" i="4"/>
  <c r="T17" i="4" s="1"/>
  <c r="X17" i="4" s="1"/>
  <c r="P7" i="4"/>
  <c r="T7" i="4" s="1"/>
  <c r="X7" i="4" s="1"/>
  <c r="P11" i="4"/>
  <c r="T11" i="4" s="1"/>
  <c r="X11" i="4" s="1"/>
  <c r="P29" i="4"/>
  <c r="T29" i="4" s="1"/>
  <c r="X29" i="4" s="1"/>
  <c r="P20" i="4"/>
  <c r="T20" i="4" s="1"/>
  <c r="X20" i="4" s="1"/>
  <c r="P9" i="4"/>
  <c r="T9" i="4" s="1"/>
  <c r="X9" i="4" s="1"/>
  <c r="P5" i="4"/>
  <c r="T5" i="4" s="1"/>
  <c r="X5" i="4" s="1"/>
  <c r="P14" i="4"/>
  <c r="T14" i="4" s="1"/>
  <c r="X14" i="4" s="1"/>
  <c r="P23" i="4"/>
  <c r="T23" i="4" s="1"/>
  <c r="X23" i="4" s="1"/>
  <c r="N20" i="4"/>
  <c r="R20" i="4" s="1"/>
  <c r="V20" i="4" s="1"/>
  <c r="N9" i="4"/>
  <c r="R9" i="4" s="1"/>
  <c r="V9" i="4" s="1"/>
  <c r="N4" i="4"/>
  <c r="R4" i="4" s="1"/>
  <c r="V4" i="4" s="1"/>
  <c r="N19" i="4"/>
  <c r="R19" i="4" s="1"/>
  <c r="V19" i="4" s="1"/>
  <c r="N18" i="4"/>
  <c r="R18" i="4" s="1"/>
  <c r="V18" i="4" s="1"/>
  <c r="N26" i="4"/>
  <c r="R26" i="4" s="1"/>
  <c r="V26" i="4" s="1"/>
  <c r="N6" i="4"/>
  <c r="R6" i="4" s="1"/>
  <c r="V6" i="4" s="1"/>
  <c r="N8" i="4"/>
  <c r="R8" i="4" s="1"/>
  <c r="V8" i="4" s="1"/>
  <c r="N14" i="4"/>
  <c r="R14" i="4" s="1"/>
  <c r="V14" i="4" s="1"/>
  <c r="N7" i="4"/>
  <c r="R7" i="4" s="1"/>
  <c r="V7" i="4" s="1"/>
  <c r="P22" i="4"/>
  <c r="T22" i="4" s="1"/>
  <c r="X22" i="4" s="1"/>
  <c r="P15" i="4"/>
  <c r="T15" i="4" s="1"/>
  <c r="X15" i="4" s="1"/>
  <c r="P31" i="4"/>
  <c r="T31" i="4" s="1"/>
  <c r="X31" i="4" s="1"/>
  <c r="N15" i="4"/>
  <c r="R15" i="4" s="1"/>
  <c r="V15" i="4" s="1"/>
  <c r="M34" i="4"/>
  <c r="Q18" i="4" s="1"/>
  <c r="U18" i="4" s="1"/>
  <c r="Y18" i="4" s="1"/>
  <c r="K34" i="4"/>
  <c r="O24" i="4" s="1"/>
  <c r="S24" i="4" s="1"/>
  <c r="W24" i="4" s="1"/>
  <c r="O28" i="4"/>
  <c r="S28" i="4" s="1"/>
  <c r="W28" i="4" s="1"/>
  <c r="O12" i="4"/>
  <c r="S12" i="4" s="1"/>
  <c r="W12" i="4" s="1"/>
  <c r="O23" i="4"/>
  <c r="S23" i="4" s="1"/>
  <c r="W23" i="4" s="1"/>
  <c r="O19" i="4"/>
  <c r="S19" i="4" s="1"/>
  <c r="W19" i="4" s="1"/>
  <c r="O29" i="4"/>
  <c r="S29" i="4" s="1"/>
  <c r="W29" i="4" s="1"/>
  <c r="O21" i="4"/>
  <c r="S21" i="4" s="1"/>
  <c r="W21" i="4" s="1"/>
  <c r="O25" i="4"/>
  <c r="S25" i="4" s="1"/>
  <c r="W25" i="4" s="1"/>
  <c r="O17" i="4"/>
  <c r="S17" i="4" s="1"/>
  <c r="W17" i="4" s="1"/>
  <c r="O22" i="4"/>
  <c r="S22" i="4" s="1"/>
  <c r="W22" i="4" s="1"/>
  <c r="O14" i="4"/>
  <c r="S14" i="4" s="1"/>
  <c r="W14" i="4" s="1"/>
  <c r="O10" i="4"/>
  <c r="S10" i="4" s="1"/>
  <c r="W10" i="4" s="1"/>
  <c r="O26" i="4"/>
  <c r="S26" i="4" s="1"/>
  <c r="W26" i="4" s="1"/>
  <c r="O4" i="4"/>
  <c r="S4" i="4" s="1"/>
  <c r="W4" i="4" s="1"/>
  <c r="N11" i="4"/>
  <c r="R11" i="4" s="1"/>
  <c r="V11" i="4" s="1"/>
  <c r="P10" i="4"/>
  <c r="T10" i="4" s="1"/>
  <c r="X10" i="4" s="1"/>
  <c r="P26" i="4"/>
  <c r="T26" i="4" s="1"/>
  <c r="X26" i="4" s="1"/>
  <c r="P19" i="4"/>
  <c r="T19" i="4" s="1"/>
  <c r="X19" i="4" s="1"/>
  <c r="N31" i="4"/>
  <c r="R31" i="4" s="1"/>
  <c r="V31" i="4" s="1"/>
  <c r="Q6" i="4" l="1"/>
  <c r="U6" i="4" s="1"/>
  <c r="Y6" i="4" s="1"/>
  <c r="Q16" i="4"/>
  <c r="U16" i="4" s="1"/>
  <c r="Y16" i="4" s="1"/>
  <c r="Q23" i="4"/>
  <c r="U23" i="4" s="1"/>
  <c r="Y23" i="4" s="1"/>
  <c r="Z23" i="4" s="1"/>
  <c r="Q31" i="4"/>
  <c r="U31" i="4" s="1"/>
  <c r="Y31" i="4" s="1"/>
  <c r="Q13" i="4"/>
  <c r="U13" i="4" s="1"/>
  <c r="Y13" i="4" s="1"/>
  <c r="Q24" i="4"/>
  <c r="U24" i="4" s="1"/>
  <c r="Y24" i="4" s="1"/>
  <c r="Q7" i="4"/>
  <c r="U7" i="4" s="1"/>
  <c r="Y7" i="4" s="1"/>
  <c r="Q4" i="4"/>
  <c r="U4" i="4" s="1"/>
  <c r="Y4" i="4" s="1"/>
  <c r="Z4" i="4" s="1"/>
  <c r="Q20" i="4"/>
  <c r="U20" i="4" s="1"/>
  <c r="Y20" i="4" s="1"/>
  <c r="Q5" i="4"/>
  <c r="U5" i="4" s="1"/>
  <c r="Y5" i="4" s="1"/>
  <c r="Q12" i="4"/>
  <c r="U12" i="4" s="1"/>
  <c r="Y12" i="4" s="1"/>
  <c r="Z12" i="4" s="1"/>
  <c r="Q8" i="4"/>
  <c r="U8" i="4" s="1"/>
  <c r="Y8" i="4" s="1"/>
  <c r="Z8" i="4" s="1"/>
  <c r="Q22" i="4"/>
  <c r="U22" i="4" s="1"/>
  <c r="Y22" i="4" s="1"/>
  <c r="Z24" i="4"/>
  <c r="Q27" i="4"/>
  <c r="U27" i="4" s="1"/>
  <c r="Y27" i="4" s="1"/>
  <c r="Q28" i="4"/>
  <c r="U28" i="4" s="1"/>
  <c r="Y28" i="4" s="1"/>
  <c r="Z28" i="4" s="1"/>
  <c r="Q19" i="4"/>
  <c r="U19" i="4" s="1"/>
  <c r="Y19" i="4" s="1"/>
  <c r="Z19" i="4" s="1"/>
  <c r="Q17" i="4"/>
  <c r="U17" i="4" s="1"/>
  <c r="Y17" i="4" s="1"/>
  <c r="Z17" i="4" s="1"/>
  <c r="Q26" i="4"/>
  <c r="U26" i="4" s="1"/>
  <c r="Y26" i="4" s="1"/>
  <c r="Z26" i="4" s="1"/>
  <c r="Q29" i="4"/>
  <c r="U29" i="4" s="1"/>
  <c r="Y29" i="4" s="1"/>
  <c r="Z29" i="4" s="1"/>
  <c r="Z22" i="4"/>
  <c r="Q10" i="4"/>
  <c r="U10" i="4" s="1"/>
  <c r="Y10" i="4" s="1"/>
  <c r="Z10" i="4" s="1"/>
  <c r="Z7" i="4"/>
  <c r="O16" i="4"/>
  <c r="S16" i="4" s="1"/>
  <c r="W16" i="4" s="1"/>
  <c r="O7" i="4"/>
  <c r="S7" i="4" s="1"/>
  <c r="W7" i="4" s="1"/>
  <c r="O8" i="4"/>
  <c r="S8" i="4" s="1"/>
  <c r="W8" i="4" s="1"/>
  <c r="O30" i="4"/>
  <c r="S30" i="4" s="1"/>
  <c r="W30" i="4" s="1"/>
  <c r="O6" i="4"/>
  <c r="S6" i="4" s="1"/>
  <c r="W6" i="4" s="1"/>
  <c r="O11" i="4"/>
  <c r="S11" i="4" s="1"/>
  <c r="W11" i="4" s="1"/>
  <c r="O27" i="4"/>
  <c r="S27" i="4" s="1"/>
  <c r="W27" i="4" s="1"/>
  <c r="O20" i="4"/>
  <c r="S20" i="4" s="1"/>
  <c r="W20" i="4" s="1"/>
  <c r="Q21" i="4"/>
  <c r="U21" i="4" s="1"/>
  <c r="Y21" i="4" s="1"/>
  <c r="Z21" i="4" s="1"/>
  <c r="Q14" i="4"/>
  <c r="U14" i="4" s="1"/>
  <c r="Y14" i="4" s="1"/>
  <c r="Z14" i="4" s="1"/>
  <c r="Q30" i="4"/>
  <c r="U30" i="4" s="1"/>
  <c r="Y30" i="4" s="1"/>
  <c r="O18" i="4"/>
  <c r="S18" i="4" s="1"/>
  <c r="W18" i="4" s="1"/>
  <c r="Z18" i="4" s="1"/>
  <c r="O5" i="4"/>
  <c r="S5" i="4" s="1"/>
  <c r="W5" i="4" s="1"/>
  <c r="O9" i="4"/>
  <c r="S9" i="4" s="1"/>
  <c r="W9" i="4" s="1"/>
  <c r="O13" i="4"/>
  <c r="S13" i="4" s="1"/>
  <c r="W13" i="4" s="1"/>
  <c r="O15" i="4"/>
  <c r="S15" i="4" s="1"/>
  <c r="W15" i="4" s="1"/>
  <c r="O31" i="4"/>
  <c r="S31" i="4" s="1"/>
  <c r="W31" i="4" s="1"/>
  <c r="Q15" i="4"/>
  <c r="U15" i="4" s="1"/>
  <c r="Y15" i="4" s="1"/>
  <c r="Q11" i="4"/>
  <c r="U11" i="4" s="1"/>
  <c r="Y11" i="4" s="1"/>
  <c r="Q9" i="4"/>
  <c r="U9" i="4" s="1"/>
  <c r="Y9" i="4" s="1"/>
  <c r="Q25" i="4"/>
  <c r="U25" i="4" s="1"/>
  <c r="Y25" i="4" s="1"/>
  <c r="Z25" i="4" s="1"/>
  <c r="Z6" i="4"/>
  <c r="Z16" i="4" l="1"/>
  <c r="Z20" i="4"/>
  <c r="Z13" i="4"/>
  <c r="Z27" i="4"/>
  <c r="Z31" i="4"/>
  <c r="Z5" i="4"/>
  <c r="Z9" i="4"/>
  <c r="Z30" i="4"/>
  <c r="Z15" i="4"/>
  <c r="Z11" i="4"/>
  <c r="E40" i="4" l="1"/>
  <c r="C40" i="4"/>
  <c r="E38" i="4"/>
  <c r="D39" i="4"/>
  <c r="E39" i="4"/>
  <c r="C39" i="4"/>
  <c r="D38" i="4"/>
  <c r="C38" i="4"/>
  <c r="D40" i="4"/>
  <c r="G39" i="4" l="1"/>
  <c r="F39" i="4"/>
  <c r="F38" i="4"/>
  <c r="G38" i="4"/>
  <c r="G40" i="4"/>
  <c r="J38" i="4"/>
  <c r="F40" i="4"/>
  <c r="H39" i="4" l="1"/>
  <c r="H38" i="4"/>
  <c r="F42" i="4"/>
  <c r="H40" i="4"/>
</calcChain>
</file>

<file path=xl/sharedStrings.xml><?xml version="1.0" encoding="utf-8"?>
<sst xmlns="http://schemas.openxmlformats.org/spreadsheetml/2006/main" count="53" uniqueCount="31">
  <si>
    <t>Output</t>
  </si>
  <si>
    <t>S/N Ratio</t>
  </si>
  <si>
    <t>Normalization</t>
  </si>
  <si>
    <t>Deviation</t>
  </si>
  <si>
    <t>Grey Reltional Coefficient</t>
  </si>
  <si>
    <t>Sr.No.</t>
  </si>
  <si>
    <t>DD</t>
  </si>
  <si>
    <t>KW</t>
  </si>
  <si>
    <t>SR</t>
  </si>
  <si>
    <t xml:space="preserve">MRR
</t>
  </si>
  <si>
    <t>GRG</t>
  </si>
  <si>
    <t>Rank</t>
  </si>
  <si>
    <t>Voltage (V)</t>
  </si>
  <si>
    <t>Capacitance (Nano Farad)</t>
  </si>
  <si>
    <t>WF (mm/min)</t>
  </si>
  <si>
    <t>Max.</t>
  </si>
  <si>
    <t>Min.</t>
  </si>
  <si>
    <t>Diff.</t>
  </si>
  <si>
    <t>L1</t>
  </si>
  <si>
    <t>L2</t>
  </si>
  <si>
    <t>L3</t>
  </si>
  <si>
    <t>Total Mean  of GRG</t>
  </si>
  <si>
    <t>Voltage</t>
  </si>
  <si>
    <t>WF</t>
  </si>
  <si>
    <t>Capacitance</t>
  </si>
  <si>
    <t>Input</t>
  </si>
  <si>
    <t>MRR
(mm³/min.)</t>
  </si>
  <si>
    <t>Initial</t>
  </si>
  <si>
    <t>Predic.</t>
  </si>
  <si>
    <t>Expe.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</si>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</sst>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45"/>
  <sheetViews>
    <sheetView tabSelected="1" zoomScale="60" zoomScaleNormal="60" workbookViewId="0">
      <selection activeCell="M36" sqref="M36"/>
    </sheetView>
  </sheetViews>
  <sheetFormatPr defaultRowHeight="15" x14ac:dyDescent="0.25"/>
  <cols>
    <col min="2" max="2" width="12.28515625" customWidth="1"/>
    <col min="3" max="3" width="10.7109375" style="4" customWidth="1"/>
    <col min="4" max="4" width="15" style="4" customWidth="1"/>
    <col min="5" max="5" width="12.5703125" style="4" customWidth="1"/>
    <col min="6" max="6" width="13" customWidth="1"/>
    <col min="10" max="10" width="13.85546875" customWidth="1"/>
    <col min="15" max="15" width="12.85546875" customWidth="1"/>
    <col min="16" max="16" width="11.28515625" customWidth="1"/>
    <col min="17" max="17" width="12" customWidth="1"/>
    <col min="18" max="18" width="11" customWidth="1"/>
    <col min="26" max="26" width="11" customWidth="1"/>
    <col min="27" max="27" width="9.140625" style="4"/>
    <col min="29" max="29" width="9.140625" customWidth="1"/>
  </cols>
  <sheetData>
    <row r="2" spans="2:30" ht="18.75" x14ac:dyDescent="0.3">
      <c r="B2" s="8"/>
      <c r="C2" s="31" t="s">
        <v>25</v>
      </c>
      <c r="D2" s="32"/>
      <c r="E2" s="33"/>
      <c r="F2" s="30" t="s">
        <v>0</v>
      </c>
      <c r="G2" s="30"/>
      <c r="H2" s="30"/>
      <c r="I2" s="30"/>
      <c r="J2" s="30" t="s">
        <v>1</v>
      </c>
      <c r="K2" s="30"/>
      <c r="L2" s="30"/>
      <c r="M2" s="30"/>
      <c r="N2" s="30" t="s">
        <v>2</v>
      </c>
      <c r="O2" s="30"/>
      <c r="P2" s="30"/>
      <c r="Q2" s="30"/>
      <c r="R2" s="30" t="s">
        <v>3</v>
      </c>
      <c r="S2" s="30"/>
      <c r="T2" s="30"/>
      <c r="U2" s="30"/>
      <c r="V2" s="30" t="s">
        <v>4</v>
      </c>
      <c r="W2" s="30"/>
      <c r="X2" s="30"/>
      <c r="Y2" s="30"/>
      <c r="Z2" s="8"/>
      <c r="AA2" s="9"/>
    </row>
    <row r="3" spans="2:30" s="5" customFormat="1" ht="57" customHeight="1" x14ac:dyDescent="0.25">
      <c r="B3" s="1" t="s">
        <v>5</v>
      </c>
      <c r="C3" s="1" t="s">
        <v>12</v>
      </c>
      <c r="D3" s="1" t="s">
        <v>13</v>
      </c>
      <c r="E3" s="1" t="s">
        <v>14</v>
      </c>
      <c r="F3" s="1" t="s">
        <v>26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6</v>
      </c>
      <c r="X3" s="1" t="s">
        <v>7</v>
      </c>
      <c r="Y3" s="1" t="s">
        <v>8</v>
      </c>
      <c r="Z3" s="1" t="s">
        <v>10</v>
      </c>
      <c r="AA3" s="1" t="s">
        <v>11</v>
      </c>
    </row>
    <row r="4" spans="2:30" ht="18.75" x14ac:dyDescent="0.3">
      <c r="B4" s="10">
        <v>1</v>
      </c>
      <c r="C4" s="3">
        <v>95</v>
      </c>
      <c r="D4" s="3">
        <v>4</v>
      </c>
      <c r="E4" s="3">
        <v>0.5</v>
      </c>
      <c r="F4" s="11">
        <v>1.8854142857142899E-3</v>
      </c>
      <c r="G4" s="12">
        <v>0.95000000000000639</v>
      </c>
      <c r="H4" s="12">
        <v>8.8999999999999996E-2</v>
      </c>
      <c r="I4" s="10">
        <v>0.74</v>
      </c>
      <c r="J4" s="10">
        <f>-10*LOG10(1/(F4*F4))</f>
        <v>-54.491864132178137</v>
      </c>
      <c r="K4" s="10">
        <f>-10*LOG10(G4*G4)</f>
        <v>0.44552789422298611</v>
      </c>
      <c r="L4" s="10">
        <f>-10*LOG10(H4*H4)</f>
        <v>21.012199867101742</v>
      </c>
      <c r="M4" s="10">
        <f>-10*LOG10(I4*I4)</f>
        <v>2.6153656053804761</v>
      </c>
      <c r="N4" s="10">
        <f>(J4-$J$33)/$J$34</f>
        <v>0.19012484320134967</v>
      </c>
      <c r="O4" s="10">
        <f>($K$32-K4)/$K$34</f>
        <v>0.91232371408417645</v>
      </c>
      <c r="P4" s="11">
        <f>($L$32-L4)/$L$34</f>
        <v>0.40182008073861952</v>
      </c>
      <c r="Q4" s="11">
        <f>($M$32-M4)/$M$34</f>
        <v>0</v>
      </c>
      <c r="R4" s="10">
        <f>1-N4</f>
        <v>0.8098751567986503</v>
      </c>
      <c r="S4" s="10">
        <f>1-O4</f>
        <v>8.7676285915823549E-2</v>
      </c>
      <c r="T4" s="10">
        <f t="shared" ref="T4:U19" si="0">1-P4</f>
        <v>0.59817991926138048</v>
      </c>
      <c r="U4" s="10">
        <f t="shared" si="0"/>
        <v>1</v>
      </c>
      <c r="V4" s="10">
        <f>(0.5/(0.5+R4))</f>
        <v>0.38171576688423164</v>
      </c>
      <c r="W4" s="10">
        <f t="shared" ref="W4:Y19" si="1">(0.5/(0.5+S4))</f>
        <v>0.8508085352139223</v>
      </c>
      <c r="X4" s="10">
        <f t="shared" si="1"/>
        <v>0.45529880052468324</v>
      </c>
      <c r="Y4" s="10">
        <f t="shared" si="1"/>
        <v>0.33333333333333331</v>
      </c>
      <c r="Z4" s="11">
        <f>AVERAGE(V4:Y4)</f>
        <v>0.50528910898904267</v>
      </c>
      <c r="AA4" s="3">
        <v>21</v>
      </c>
      <c r="AC4">
        <v>0.68979249984164581</v>
      </c>
      <c r="AD4">
        <v>1</v>
      </c>
    </row>
    <row r="5" spans="2:30" ht="18.75" x14ac:dyDescent="0.3">
      <c r="B5" s="10">
        <v>2</v>
      </c>
      <c r="C5" s="3">
        <v>95</v>
      </c>
      <c r="D5" s="3">
        <v>4</v>
      </c>
      <c r="E5" s="3">
        <v>1</v>
      </c>
      <c r="F5" s="11">
        <v>1.6192155172413819E-3</v>
      </c>
      <c r="G5" s="12">
        <v>0.92499999999999805</v>
      </c>
      <c r="H5" s="12">
        <v>8.7999999999999995E-2</v>
      </c>
      <c r="I5" s="10">
        <v>0.89</v>
      </c>
      <c r="J5" s="10">
        <f t="shared" ref="J5:J31" si="2">-10*LOG10(1/(F5*F5))</f>
        <v>-55.813906857922305</v>
      </c>
      <c r="K5" s="10">
        <f t="shared" ref="K5:M31" si="3">-10*LOG10(G5*G5)</f>
        <v>0.677165345219366</v>
      </c>
      <c r="L5" s="10">
        <f t="shared" si="3"/>
        <v>21.110346556996625</v>
      </c>
      <c r="M5" s="10">
        <f t="shared" si="3"/>
        <v>1.0121998671017443</v>
      </c>
      <c r="N5" s="10">
        <f t="shared" ref="N5:N31" si="4">(J5-$J$33)/$J$34</f>
        <v>0.10023092457327912</v>
      </c>
      <c r="O5" s="10">
        <f t="shared" ref="O5:O31" si="5">($K$32-K5)/$K$34</f>
        <v>0.82230912033407499</v>
      </c>
      <c r="P5" s="11">
        <f t="shared" ref="P5:P31" si="6">($L$32-L5)/$L$34</f>
        <v>0.32329324052432479</v>
      </c>
      <c r="Q5" s="11">
        <f t="shared" ref="Q5:Q31" si="7">($M$32-M5)/$M$34</f>
        <v>0.14099495186183297</v>
      </c>
      <c r="R5" s="10">
        <f t="shared" ref="R5:U31" si="8">1-N5</f>
        <v>0.89976907542672091</v>
      </c>
      <c r="S5" s="10">
        <f t="shared" si="8"/>
        <v>0.17769087966592501</v>
      </c>
      <c r="T5" s="10">
        <f t="shared" si="0"/>
        <v>0.67670675947567527</v>
      </c>
      <c r="U5" s="10">
        <f t="shared" si="0"/>
        <v>0.85900504813816703</v>
      </c>
      <c r="V5" s="10">
        <f t="shared" ref="V5:Y31" si="9">(0.5/(0.5+R5))</f>
        <v>0.35720177619124394</v>
      </c>
      <c r="W5" s="10">
        <f t="shared" si="1"/>
        <v>0.73779951155087165</v>
      </c>
      <c r="X5" s="10">
        <f t="shared" si="1"/>
        <v>0.4249147002629553</v>
      </c>
      <c r="Y5" s="10">
        <f t="shared" si="1"/>
        <v>0.36791621979991801</v>
      </c>
      <c r="Z5" s="11">
        <f t="shared" ref="Z5:Z31" si="10">AVERAGE(V5:Y5)</f>
        <v>0.47195805195124718</v>
      </c>
      <c r="AA5" s="3">
        <v>24</v>
      </c>
      <c r="AC5">
        <v>0.68542207586351311</v>
      </c>
      <c r="AD5">
        <v>2</v>
      </c>
    </row>
    <row r="6" spans="2:30" ht="18.75" x14ac:dyDescent="0.3">
      <c r="B6" s="10">
        <v>3</v>
      </c>
      <c r="C6" s="3">
        <v>95</v>
      </c>
      <c r="D6" s="3">
        <v>4</v>
      </c>
      <c r="E6" s="3">
        <v>1.5</v>
      </c>
      <c r="F6" s="11">
        <v>1.8234438405797145E-3</v>
      </c>
      <c r="G6" s="12">
        <v>0.97499999999999998</v>
      </c>
      <c r="H6" s="12">
        <v>0.09</v>
      </c>
      <c r="I6" s="10">
        <v>0.99</v>
      </c>
      <c r="J6" s="10">
        <f t="shared" si="2"/>
        <v>-54.78215215566226</v>
      </c>
      <c r="K6" s="10">
        <f t="shared" si="3"/>
        <v>0.21990768602926394</v>
      </c>
      <c r="L6" s="10">
        <f t="shared" si="3"/>
        <v>20.915149811213503</v>
      </c>
      <c r="M6" s="10">
        <f t="shared" si="3"/>
        <v>8.7296108049001814E-2</v>
      </c>
      <c r="N6" s="10">
        <f t="shared" si="4"/>
        <v>0.17038635256588516</v>
      </c>
      <c r="O6" s="10">
        <f t="shared" si="5"/>
        <v>1</v>
      </c>
      <c r="P6" s="11">
        <f t="shared" si="6"/>
        <v>0.47946950773087432</v>
      </c>
      <c r="Q6" s="11">
        <f t="shared" si="7"/>
        <v>0.22233823276582942</v>
      </c>
      <c r="R6" s="10">
        <f t="shared" si="8"/>
        <v>0.82961364743411481</v>
      </c>
      <c r="S6" s="10">
        <f t="shared" si="8"/>
        <v>0</v>
      </c>
      <c r="T6" s="10">
        <f t="shared" si="0"/>
        <v>0.52053049226912562</v>
      </c>
      <c r="U6" s="10">
        <f t="shared" si="0"/>
        <v>0.77766176723417058</v>
      </c>
      <c r="V6" s="10">
        <f t="shared" si="9"/>
        <v>0.37604908836856388</v>
      </c>
      <c r="W6" s="10">
        <f t="shared" si="1"/>
        <v>1</v>
      </c>
      <c r="X6" s="10">
        <f t="shared" si="1"/>
        <v>0.48994126465370152</v>
      </c>
      <c r="Y6" s="10">
        <f t="shared" si="1"/>
        <v>0.39133987791023861</v>
      </c>
      <c r="Z6" s="11">
        <f t="shared" si="10"/>
        <v>0.56433255773312596</v>
      </c>
      <c r="AA6" s="3">
        <v>16</v>
      </c>
      <c r="AC6">
        <v>0.68115112511273612</v>
      </c>
      <c r="AD6">
        <v>3</v>
      </c>
    </row>
    <row r="7" spans="2:30" ht="18.75" x14ac:dyDescent="0.3">
      <c r="B7" s="10">
        <v>4</v>
      </c>
      <c r="C7" s="3">
        <v>95</v>
      </c>
      <c r="D7" s="3">
        <v>5</v>
      </c>
      <c r="E7" s="3">
        <v>0.5</v>
      </c>
      <c r="F7" s="11">
        <v>2.2674374999999956E-3</v>
      </c>
      <c r="G7" s="12">
        <v>0.74999999999999512</v>
      </c>
      <c r="H7" s="12">
        <v>9.1999999999999998E-2</v>
      </c>
      <c r="I7" s="10">
        <v>0.95</v>
      </c>
      <c r="J7" s="10">
        <f t="shared" si="2"/>
        <v>-52.889293501270991</v>
      </c>
      <c r="K7" s="10">
        <f t="shared" si="3"/>
        <v>2.4987747321660554</v>
      </c>
      <c r="L7" s="10">
        <f t="shared" si="3"/>
        <v>20.724243453088892</v>
      </c>
      <c r="M7" s="10">
        <f t="shared" si="3"/>
        <v>0.44552789422304484</v>
      </c>
      <c r="N7" s="10">
        <f t="shared" si="4"/>
        <v>0.29909360123404599</v>
      </c>
      <c r="O7" s="10">
        <f t="shared" si="5"/>
        <v>0.11442950832806957</v>
      </c>
      <c r="P7" s="11">
        <f t="shared" si="6"/>
        <v>0.63221305003882466</v>
      </c>
      <c r="Q7" s="11">
        <f t="shared" si="7"/>
        <v>0.19083252362984365</v>
      </c>
      <c r="R7" s="10">
        <f t="shared" si="8"/>
        <v>0.70090639876595406</v>
      </c>
      <c r="S7" s="10">
        <f t="shared" si="8"/>
        <v>0.88557049167193047</v>
      </c>
      <c r="T7" s="10">
        <f t="shared" si="0"/>
        <v>0.36778694996117534</v>
      </c>
      <c r="U7" s="10">
        <f t="shared" si="0"/>
        <v>0.8091674763701564</v>
      </c>
      <c r="V7" s="10">
        <f t="shared" si="9"/>
        <v>0.41635218241304878</v>
      </c>
      <c r="W7" s="10">
        <f t="shared" si="1"/>
        <v>0.36086218853915075</v>
      </c>
      <c r="X7" s="10">
        <f t="shared" si="1"/>
        <v>0.57617828894796119</v>
      </c>
      <c r="Y7" s="10">
        <f t="shared" si="1"/>
        <v>0.38192210624290601</v>
      </c>
      <c r="Z7" s="11">
        <f t="shared" si="10"/>
        <v>0.43382869153576664</v>
      </c>
      <c r="AA7" s="3">
        <v>27</v>
      </c>
      <c r="AC7">
        <v>0.6788777062715321</v>
      </c>
      <c r="AD7">
        <v>4</v>
      </c>
    </row>
    <row r="8" spans="2:30" ht="18.75" x14ac:dyDescent="0.3">
      <c r="B8" s="10">
        <v>5</v>
      </c>
      <c r="C8" s="3">
        <v>95</v>
      </c>
      <c r="D8" s="3">
        <v>5</v>
      </c>
      <c r="E8" s="3">
        <v>1</v>
      </c>
      <c r="F8" s="11">
        <v>3.3106363636363667E-3</v>
      </c>
      <c r="G8" s="12">
        <v>0.72499999999999787</v>
      </c>
      <c r="H8" s="12">
        <v>9.0999999999999998E-2</v>
      </c>
      <c r="I8" s="10">
        <v>1.1000000000000001</v>
      </c>
      <c r="J8" s="10">
        <f t="shared" si="2"/>
        <v>-49.601770380361771</v>
      </c>
      <c r="K8" s="10">
        <f t="shared" si="3"/>
        <v>2.7932398685801516</v>
      </c>
      <c r="L8" s="10">
        <f t="shared" si="3"/>
        <v>20.819172153578126</v>
      </c>
      <c r="M8" s="10">
        <f t="shared" si="3"/>
        <v>-0.82785370316450158</v>
      </c>
      <c r="N8" s="10">
        <f t="shared" si="4"/>
        <v>0.52263277297493149</v>
      </c>
      <c r="O8" s="10">
        <f t="shared" si="5"/>
        <v>0</v>
      </c>
      <c r="P8" s="11">
        <f t="shared" si="6"/>
        <v>0.55626091244709708</v>
      </c>
      <c r="Q8" s="11">
        <f t="shared" si="7"/>
        <v>0.30282367509879149</v>
      </c>
      <c r="R8" s="10">
        <f t="shared" si="8"/>
        <v>0.47736722702506851</v>
      </c>
      <c r="S8" s="10">
        <f t="shared" si="8"/>
        <v>1</v>
      </c>
      <c r="T8" s="10">
        <f t="shared" si="0"/>
        <v>0.44373908755290292</v>
      </c>
      <c r="U8" s="10">
        <f t="shared" si="0"/>
        <v>0.69717632490120851</v>
      </c>
      <c r="V8" s="10">
        <f t="shared" si="9"/>
        <v>0.51157843866108632</v>
      </c>
      <c r="W8" s="10">
        <f t="shared" si="1"/>
        <v>0.33333333333333331</v>
      </c>
      <c r="X8" s="10">
        <f t="shared" si="1"/>
        <v>0.52980745059155099</v>
      </c>
      <c r="Y8" s="10">
        <f t="shared" si="1"/>
        <v>0.41764942189385534</v>
      </c>
      <c r="Z8" s="11">
        <f t="shared" si="10"/>
        <v>0.44809216111995653</v>
      </c>
      <c r="AA8" s="3">
        <v>26</v>
      </c>
      <c r="AC8">
        <v>0.66257276028914358</v>
      </c>
      <c r="AD8">
        <v>5</v>
      </c>
    </row>
    <row r="9" spans="2:30" ht="18.75" x14ac:dyDescent="0.3">
      <c r="B9" s="10">
        <v>6</v>
      </c>
      <c r="C9" s="3">
        <v>95</v>
      </c>
      <c r="D9" s="3">
        <v>5</v>
      </c>
      <c r="E9" s="3">
        <v>1.5</v>
      </c>
      <c r="F9" s="11">
        <v>2.6011617647058814E-3</v>
      </c>
      <c r="G9" s="12">
        <v>0.77499999999999236</v>
      </c>
      <c r="H9" s="12">
        <v>8.8999999999999996E-2</v>
      </c>
      <c r="I9" s="10">
        <v>1.4730000000000001</v>
      </c>
      <c r="J9" s="10">
        <f t="shared" si="2"/>
        <v>-51.696652768965485</v>
      </c>
      <c r="K9" s="10">
        <f t="shared" si="3"/>
        <v>2.2139659498738795</v>
      </c>
      <c r="L9" s="10">
        <f t="shared" si="3"/>
        <v>21.012199867101742</v>
      </c>
      <c r="M9" s="10">
        <f t="shared" si="3"/>
        <v>-3.3640549368526185</v>
      </c>
      <c r="N9" s="10">
        <f t="shared" si="4"/>
        <v>0.38018867241039184</v>
      </c>
      <c r="O9" s="10">
        <f t="shared" si="5"/>
        <v>0.22510654575968914</v>
      </c>
      <c r="P9" s="11">
        <f t="shared" si="6"/>
        <v>0.40182008073861952</v>
      </c>
      <c r="Q9" s="11">
        <f t="shared" si="7"/>
        <v>0.52587707645186199</v>
      </c>
      <c r="R9" s="10">
        <f t="shared" si="8"/>
        <v>0.61981132758960822</v>
      </c>
      <c r="S9" s="10">
        <f t="shared" si="8"/>
        <v>0.77489345424031086</v>
      </c>
      <c r="T9" s="10">
        <f t="shared" si="0"/>
        <v>0.59817991926138048</v>
      </c>
      <c r="U9" s="10">
        <f t="shared" si="0"/>
        <v>0.47412292354813801</v>
      </c>
      <c r="V9" s="10">
        <f t="shared" si="9"/>
        <v>0.44650378834463933</v>
      </c>
      <c r="W9" s="10">
        <f t="shared" si="1"/>
        <v>0.39218963619037661</v>
      </c>
      <c r="X9" s="10">
        <f t="shared" si="1"/>
        <v>0.45529880052468324</v>
      </c>
      <c r="Y9" s="10">
        <f t="shared" si="1"/>
        <v>0.51328224386590116</v>
      </c>
      <c r="Z9" s="11">
        <f t="shared" si="10"/>
        <v>0.45181861723140004</v>
      </c>
      <c r="AA9" s="3">
        <v>25</v>
      </c>
      <c r="AC9">
        <v>0.65739296764333988</v>
      </c>
      <c r="AD9">
        <v>6</v>
      </c>
    </row>
    <row r="10" spans="2:30" ht="18.75" x14ac:dyDescent="0.3">
      <c r="B10" s="10">
        <v>7</v>
      </c>
      <c r="C10" s="3">
        <v>95</v>
      </c>
      <c r="D10" s="3">
        <v>6</v>
      </c>
      <c r="E10" s="3">
        <v>0.5</v>
      </c>
      <c r="F10" s="11">
        <v>4.836827830188668E-3</v>
      </c>
      <c r="G10" s="12">
        <v>0.8499999999999952</v>
      </c>
      <c r="H10" s="12">
        <v>8.8999999999999996E-2</v>
      </c>
      <c r="I10" s="10">
        <v>1.69</v>
      </c>
      <c r="J10" s="10">
        <f t="shared" si="2"/>
        <v>-46.308787426222139</v>
      </c>
      <c r="K10" s="10">
        <f t="shared" si="3"/>
        <v>1.4116214857141944</v>
      </c>
      <c r="L10" s="10">
        <f t="shared" si="3"/>
        <v>21.012199867101742</v>
      </c>
      <c r="M10" s="10">
        <f t="shared" si="3"/>
        <v>-4.5577340922734706</v>
      </c>
      <c r="N10" s="10">
        <f t="shared" si="4"/>
        <v>0.74654319278108738</v>
      </c>
      <c r="O10" s="10">
        <f t="shared" si="5"/>
        <v>0.53689857540909836</v>
      </c>
      <c r="P10" s="11">
        <f t="shared" si="6"/>
        <v>0.40182008073861952</v>
      </c>
      <c r="Q10" s="11">
        <f t="shared" si="7"/>
        <v>0.63085857090279607</v>
      </c>
      <c r="R10" s="10">
        <f t="shared" si="8"/>
        <v>0.25345680721891262</v>
      </c>
      <c r="S10" s="10">
        <f t="shared" si="8"/>
        <v>0.46310142459090164</v>
      </c>
      <c r="T10" s="10">
        <f t="shared" si="0"/>
        <v>0.59817991926138048</v>
      </c>
      <c r="U10" s="10">
        <f t="shared" si="0"/>
        <v>0.36914142909720393</v>
      </c>
      <c r="V10" s="10">
        <f t="shared" si="9"/>
        <v>0.66360804655219985</v>
      </c>
      <c r="W10" s="10">
        <f t="shared" si="1"/>
        <v>0.51915612129053379</v>
      </c>
      <c r="X10" s="10">
        <f t="shared" si="1"/>
        <v>0.45529880052468324</v>
      </c>
      <c r="Y10" s="10">
        <f t="shared" si="1"/>
        <v>0.57528036664799287</v>
      </c>
      <c r="Z10" s="11">
        <f t="shared" si="10"/>
        <v>0.55333583375385242</v>
      </c>
      <c r="AA10" s="3">
        <v>17</v>
      </c>
      <c r="AC10">
        <v>0.64871365284749138</v>
      </c>
      <c r="AD10">
        <v>7</v>
      </c>
    </row>
    <row r="11" spans="2:30" ht="18.75" x14ac:dyDescent="0.3">
      <c r="B11" s="10">
        <v>8</v>
      </c>
      <c r="C11" s="3">
        <v>95</v>
      </c>
      <c r="D11" s="3">
        <v>6</v>
      </c>
      <c r="E11" s="3">
        <v>1</v>
      </c>
      <c r="F11" s="11">
        <v>5.0524636363636312E-3</v>
      </c>
      <c r="G11" s="12">
        <v>0.87500000000000355</v>
      </c>
      <c r="H11" s="12">
        <v>8.7999999999999995E-2</v>
      </c>
      <c r="I11" s="10">
        <v>1.9039999999999999</v>
      </c>
      <c r="J11" s="10">
        <f t="shared" si="2"/>
        <v>-45.929936070190614</v>
      </c>
      <c r="K11" s="10">
        <f t="shared" si="3"/>
        <v>1.1598389395536999</v>
      </c>
      <c r="L11" s="10">
        <f t="shared" si="3"/>
        <v>21.110346556996625</v>
      </c>
      <c r="M11" s="10">
        <f t="shared" si="3"/>
        <v>-5.5933388809691102</v>
      </c>
      <c r="N11" s="10">
        <f t="shared" si="4"/>
        <v>0.77230365597040074</v>
      </c>
      <c r="O11" s="10">
        <f t="shared" si="5"/>
        <v>0.63474157751654803</v>
      </c>
      <c r="P11" s="11">
        <f t="shared" si="6"/>
        <v>0.32329324052432479</v>
      </c>
      <c r="Q11" s="11">
        <f t="shared" si="7"/>
        <v>0.72193776742230065</v>
      </c>
      <c r="R11" s="10">
        <f t="shared" si="8"/>
        <v>0.22769634402959926</v>
      </c>
      <c r="S11" s="10">
        <f t="shared" si="8"/>
        <v>0.36525842248345197</v>
      </c>
      <c r="T11" s="10">
        <f t="shared" si="0"/>
        <v>0.67670675947567527</v>
      </c>
      <c r="U11" s="10">
        <f t="shared" si="0"/>
        <v>0.27806223257769935</v>
      </c>
      <c r="V11" s="10">
        <f t="shared" si="9"/>
        <v>0.68709978290019047</v>
      </c>
      <c r="W11" s="10">
        <f t="shared" si="1"/>
        <v>0.57786204330136115</v>
      </c>
      <c r="X11" s="10">
        <f t="shared" si="1"/>
        <v>0.4249147002629553</v>
      </c>
      <c r="Y11" s="10">
        <f t="shared" si="1"/>
        <v>0.64262211821220694</v>
      </c>
      <c r="Z11" s="11">
        <f t="shared" si="10"/>
        <v>0.58312466116917849</v>
      </c>
      <c r="AA11" s="3">
        <v>13</v>
      </c>
      <c r="AC11">
        <v>0.63654849448802264</v>
      </c>
      <c r="AD11">
        <v>8</v>
      </c>
    </row>
    <row r="12" spans="2:30" ht="18.75" x14ac:dyDescent="0.3">
      <c r="B12" s="10">
        <v>9</v>
      </c>
      <c r="C12" s="3">
        <v>95</v>
      </c>
      <c r="D12" s="3">
        <v>6</v>
      </c>
      <c r="E12" s="3">
        <v>1.5</v>
      </c>
      <c r="F12" s="11">
        <v>4.8706995192307635E-3</v>
      </c>
      <c r="G12" s="12">
        <v>0.8499999999999952</v>
      </c>
      <c r="H12" s="12">
        <v>8.6999999999999994E-2</v>
      </c>
      <c r="I12" s="10">
        <v>2.589</v>
      </c>
      <c r="J12" s="10">
        <f t="shared" si="2"/>
        <v>-46.248173237614893</v>
      </c>
      <c r="K12" s="10">
        <f t="shared" si="3"/>
        <v>1.4116214857141944</v>
      </c>
      <c r="L12" s="10">
        <f t="shared" si="3"/>
        <v>21.209614947627632</v>
      </c>
      <c r="M12" s="10">
        <f t="shared" si="3"/>
        <v>-8.2626410086974396</v>
      </c>
      <c r="N12" s="10">
        <f t="shared" si="4"/>
        <v>0.75066472897069825</v>
      </c>
      <c r="O12" s="10">
        <f t="shared" si="5"/>
        <v>0.53689857540909836</v>
      </c>
      <c r="P12" s="11">
        <f t="shared" si="6"/>
        <v>0.24386893128108714</v>
      </c>
      <c r="Q12" s="11">
        <f t="shared" si="7"/>
        <v>0.95669710391350327</v>
      </c>
      <c r="R12" s="10">
        <f t="shared" si="8"/>
        <v>0.24933527102930175</v>
      </c>
      <c r="S12" s="10">
        <f t="shared" si="8"/>
        <v>0.46310142459090164</v>
      </c>
      <c r="T12" s="10">
        <f t="shared" si="0"/>
        <v>0.75613106871891289</v>
      </c>
      <c r="U12" s="10">
        <f t="shared" si="0"/>
        <v>4.3302896086496734E-2</v>
      </c>
      <c r="V12" s="10">
        <f t="shared" si="9"/>
        <v>0.66725806101878815</v>
      </c>
      <c r="W12" s="10">
        <f t="shared" si="1"/>
        <v>0.51915612129053379</v>
      </c>
      <c r="X12" s="10">
        <f t="shared" si="1"/>
        <v>0.39804763408163585</v>
      </c>
      <c r="Y12" s="10">
        <f t="shared" si="1"/>
        <v>0.92029695332306372</v>
      </c>
      <c r="Z12" s="11">
        <f t="shared" si="10"/>
        <v>0.62618969242850542</v>
      </c>
      <c r="AA12" s="3">
        <v>9</v>
      </c>
      <c r="AC12">
        <v>0.62618969242850542</v>
      </c>
      <c r="AD12">
        <v>9</v>
      </c>
    </row>
    <row r="13" spans="2:30" ht="18.75" x14ac:dyDescent="0.3">
      <c r="B13" s="10">
        <v>10</v>
      </c>
      <c r="C13" s="3">
        <v>105</v>
      </c>
      <c r="D13" s="3">
        <v>4</v>
      </c>
      <c r="E13" s="3">
        <v>0.5</v>
      </c>
      <c r="F13" s="11">
        <v>2.7335437500000011E-3</v>
      </c>
      <c r="G13" s="12">
        <v>0.85250000000000048</v>
      </c>
      <c r="H13" s="12">
        <v>8.7999999999999995E-2</v>
      </c>
      <c r="I13" s="10">
        <v>2.5470000000000002</v>
      </c>
      <c r="J13" s="10">
        <f t="shared" si="2"/>
        <v>-51.265479417840766</v>
      </c>
      <c r="K13" s="10">
        <f t="shared" si="3"/>
        <v>1.3861122467092888</v>
      </c>
      <c r="L13" s="10">
        <f t="shared" si="3"/>
        <v>21.110346556996625</v>
      </c>
      <c r="M13" s="10">
        <f t="shared" si="3"/>
        <v>-8.1205788992723029</v>
      </c>
      <c r="N13" s="10">
        <f t="shared" si="4"/>
        <v>0.4095068339083725</v>
      </c>
      <c r="O13" s="10">
        <f t="shared" si="5"/>
        <v>0.54681149655386041</v>
      </c>
      <c r="P13" s="11">
        <f t="shared" si="6"/>
        <v>0.32329324052432479</v>
      </c>
      <c r="Q13" s="11">
        <f t="shared" si="7"/>
        <v>0.94420304930546683</v>
      </c>
      <c r="R13" s="10">
        <f t="shared" si="8"/>
        <v>0.5904931660916275</v>
      </c>
      <c r="S13" s="10">
        <f t="shared" si="8"/>
        <v>0.45318850344613959</v>
      </c>
      <c r="T13" s="10">
        <f t="shared" si="0"/>
        <v>0.67670675947567527</v>
      </c>
      <c r="U13" s="10">
        <f t="shared" si="0"/>
        <v>5.5796950694533165E-2</v>
      </c>
      <c r="V13" s="10">
        <f t="shared" si="9"/>
        <v>0.45850814617391933</v>
      </c>
      <c r="W13" s="10">
        <f t="shared" si="1"/>
        <v>0.52455521462156696</v>
      </c>
      <c r="X13" s="10">
        <f t="shared" si="1"/>
        <v>0.4249147002629553</v>
      </c>
      <c r="Y13" s="10">
        <f t="shared" si="1"/>
        <v>0.89960910972107999</v>
      </c>
      <c r="Z13" s="11">
        <f t="shared" si="10"/>
        <v>0.57689679269488037</v>
      </c>
      <c r="AA13" s="3">
        <v>14</v>
      </c>
      <c r="AC13">
        <v>0.62269345310253388</v>
      </c>
      <c r="AD13">
        <v>10</v>
      </c>
    </row>
    <row r="14" spans="2:30" ht="18.75" x14ac:dyDescent="0.3">
      <c r="B14" s="10">
        <v>11</v>
      </c>
      <c r="C14" s="3">
        <v>105</v>
      </c>
      <c r="D14" s="3">
        <v>4</v>
      </c>
      <c r="E14" s="3">
        <v>1</v>
      </c>
      <c r="F14" s="11">
        <v>3.3272266791044714E-3</v>
      </c>
      <c r="G14" s="12">
        <v>0.8499999999999952</v>
      </c>
      <c r="H14" s="12">
        <v>8.8999999999999996E-2</v>
      </c>
      <c r="I14" s="10">
        <v>1.45</v>
      </c>
      <c r="J14" s="10">
        <f t="shared" si="2"/>
        <v>-49.558352205462839</v>
      </c>
      <c r="K14" s="10">
        <f t="shared" si="3"/>
        <v>1.4116214857141944</v>
      </c>
      <c r="L14" s="10">
        <f t="shared" si="3"/>
        <v>21.012199867101742</v>
      </c>
      <c r="M14" s="10">
        <f t="shared" si="3"/>
        <v>-3.2273600446994974</v>
      </c>
      <c r="N14" s="10">
        <f t="shared" si="4"/>
        <v>0.52558504509544623</v>
      </c>
      <c r="O14" s="10">
        <f t="shared" si="5"/>
        <v>0.53689857540909836</v>
      </c>
      <c r="P14" s="11">
        <f t="shared" si="6"/>
        <v>0.40182008073861952</v>
      </c>
      <c r="Q14" s="11">
        <f t="shared" si="7"/>
        <v>0.51385505696959621</v>
      </c>
      <c r="R14" s="10">
        <f t="shared" si="8"/>
        <v>0.47441495490455377</v>
      </c>
      <c r="S14" s="10">
        <f t="shared" si="8"/>
        <v>0.46310142459090164</v>
      </c>
      <c r="T14" s="10">
        <f t="shared" si="0"/>
        <v>0.59817991926138048</v>
      </c>
      <c r="U14" s="10">
        <f t="shared" si="0"/>
        <v>0.48614494303040379</v>
      </c>
      <c r="V14" s="10">
        <f t="shared" si="9"/>
        <v>0.51312841360175576</v>
      </c>
      <c r="W14" s="10">
        <f t="shared" si="1"/>
        <v>0.51915612129053379</v>
      </c>
      <c r="X14" s="10">
        <f t="shared" si="1"/>
        <v>0.45529880052468324</v>
      </c>
      <c r="Y14" s="10">
        <f t="shared" si="1"/>
        <v>0.5070248582967023</v>
      </c>
      <c r="Z14" s="11">
        <f t="shared" si="10"/>
        <v>0.49865204842841876</v>
      </c>
      <c r="AA14" s="3">
        <v>23</v>
      </c>
      <c r="AC14">
        <v>0.60720116396791157</v>
      </c>
      <c r="AD14">
        <v>11</v>
      </c>
    </row>
    <row r="15" spans="2:30" ht="18.75" x14ac:dyDescent="0.3">
      <c r="B15" s="10">
        <v>12</v>
      </c>
      <c r="C15" s="3">
        <v>105</v>
      </c>
      <c r="D15" s="3">
        <v>4</v>
      </c>
      <c r="E15" s="3">
        <v>1.5</v>
      </c>
      <c r="F15" s="11">
        <v>2.2252150735294148E-3</v>
      </c>
      <c r="G15" s="12">
        <v>0.82499999999999796</v>
      </c>
      <c r="H15" s="12">
        <v>0.09</v>
      </c>
      <c r="I15" s="10">
        <v>1.8959999999999999</v>
      </c>
      <c r="J15" s="10">
        <f t="shared" si="2"/>
        <v>-53.052560136510991</v>
      </c>
      <c r="K15" s="10">
        <f t="shared" si="3"/>
        <v>1.67092102900152</v>
      </c>
      <c r="L15" s="10">
        <f t="shared" si="3"/>
        <v>20.915149811213503</v>
      </c>
      <c r="M15" s="10">
        <f t="shared" si="3"/>
        <v>-5.5567666600409478</v>
      </c>
      <c r="N15" s="10">
        <f t="shared" si="4"/>
        <v>0.28799208587667963</v>
      </c>
      <c r="O15" s="10">
        <f t="shared" si="5"/>
        <v>0.43613445912221938</v>
      </c>
      <c r="P15" s="11">
        <f t="shared" si="6"/>
        <v>0.47946950773087432</v>
      </c>
      <c r="Q15" s="11">
        <f t="shared" si="7"/>
        <v>0.71872131986100063</v>
      </c>
      <c r="R15" s="10">
        <f t="shared" si="8"/>
        <v>0.71200791412332043</v>
      </c>
      <c r="S15" s="10">
        <f t="shared" si="8"/>
        <v>0.56386554087778062</v>
      </c>
      <c r="T15" s="10">
        <f t="shared" si="0"/>
        <v>0.52053049226912562</v>
      </c>
      <c r="U15" s="10">
        <f t="shared" si="0"/>
        <v>0.28127868013899937</v>
      </c>
      <c r="V15" s="10">
        <f t="shared" si="9"/>
        <v>0.41253856032917419</v>
      </c>
      <c r="W15" s="10">
        <f t="shared" si="1"/>
        <v>0.469984204571056</v>
      </c>
      <c r="X15" s="10">
        <f t="shared" si="1"/>
        <v>0.48994126465370152</v>
      </c>
      <c r="Y15" s="10">
        <f t="shared" si="1"/>
        <v>0.63997650609260659</v>
      </c>
      <c r="Z15" s="11">
        <f t="shared" si="10"/>
        <v>0.50311013391163462</v>
      </c>
      <c r="AA15" s="3">
        <v>22</v>
      </c>
      <c r="AC15">
        <v>0.59588077178639687</v>
      </c>
      <c r="AD15">
        <v>12</v>
      </c>
    </row>
    <row r="16" spans="2:30" ht="18.75" x14ac:dyDescent="0.3">
      <c r="B16" s="10">
        <v>13</v>
      </c>
      <c r="C16" s="3">
        <v>105</v>
      </c>
      <c r="D16" s="3">
        <v>5</v>
      </c>
      <c r="E16" s="3">
        <v>0.5</v>
      </c>
      <c r="F16" s="11">
        <v>3.8914571917808278E-3</v>
      </c>
      <c r="G16" s="12">
        <v>0.8499999999999952</v>
      </c>
      <c r="H16" s="12">
        <v>9.1999999999999998E-2</v>
      </c>
      <c r="I16" s="10">
        <v>2.68</v>
      </c>
      <c r="J16" s="10">
        <f t="shared" si="2"/>
        <v>-48.197754853452977</v>
      </c>
      <c r="K16" s="10">
        <f t="shared" si="3"/>
        <v>1.4116214857141944</v>
      </c>
      <c r="L16" s="10">
        <f t="shared" si="3"/>
        <v>20.724243453088892</v>
      </c>
      <c r="M16" s="10">
        <f t="shared" si="3"/>
        <v>-8.5626958805757774</v>
      </c>
      <c r="N16" s="10">
        <f t="shared" si="4"/>
        <v>0.61810053288219358</v>
      </c>
      <c r="O16" s="10">
        <f t="shared" si="5"/>
        <v>0.53689857540909836</v>
      </c>
      <c r="P16" s="11">
        <f t="shared" si="6"/>
        <v>0.63221305003882466</v>
      </c>
      <c r="Q16" s="11">
        <f t="shared" si="7"/>
        <v>0.98308627953412098</v>
      </c>
      <c r="R16" s="10">
        <f t="shared" si="8"/>
        <v>0.38189946711780642</v>
      </c>
      <c r="S16" s="10">
        <f t="shared" si="8"/>
        <v>0.46310142459090164</v>
      </c>
      <c r="T16" s="10">
        <f t="shared" si="0"/>
        <v>0.36778694996117534</v>
      </c>
      <c r="U16" s="10">
        <f t="shared" si="0"/>
        <v>1.6913720465879023E-2</v>
      </c>
      <c r="V16" s="10">
        <f t="shared" si="9"/>
        <v>0.56695804753582946</v>
      </c>
      <c r="W16" s="10">
        <f t="shared" si="1"/>
        <v>0.51915612129053379</v>
      </c>
      <c r="X16" s="10">
        <f t="shared" si="1"/>
        <v>0.57617828894796119</v>
      </c>
      <c r="Y16" s="10">
        <f t="shared" si="1"/>
        <v>0.96727941279903507</v>
      </c>
      <c r="Z16" s="11">
        <f t="shared" si="10"/>
        <v>0.65739296764333988</v>
      </c>
      <c r="AA16" s="3">
        <v>6</v>
      </c>
      <c r="AC16">
        <v>0.58312466116917849</v>
      </c>
      <c r="AD16">
        <v>13</v>
      </c>
    </row>
    <row r="17" spans="2:31" ht="18.75" x14ac:dyDescent="0.3">
      <c r="B17" s="10">
        <v>14</v>
      </c>
      <c r="C17" s="3">
        <v>105</v>
      </c>
      <c r="D17" s="3">
        <v>5</v>
      </c>
      <c r="E17" s="3">
        <v>1</v>
      </c>
      <c r="F17" s="11">
        <v>3.3772966666666716E-3</v>
      </c>
      <c r="G17" s="12">
        <v>0.82499999999999796</v>
      </c>
      <c r="H17" s="12">
        <v>9.7000000000000003E-2</v>
      </c>
      <c r="I17" s="10">
        <v>1.4350000000000001</v>
      </c>
      <c r="J17" s="10">
        <f t="shared" si="2"/>
        <v>-49.428615772560605</v>
      </c>
      <c r="K17" s="10">
        <f t="shared" si="3"/>
        <v>1.67092102900152</v>
      </c>
      <c r="L17" s="10">
        <f t="shared" si="3"/>
        <v>20.264565314675103</v>
      </c>
      <c r="M17" s="10">
        <f t="shared" si="3"/>
        <v>-3.1370380214002229</v>
      </c>
      <c r="N17" s="10">
        <f t="shared" si="4"/>
        <v>0.5344066331691939</v>
      </c>
      <c r="O17" s="10">
        <f t="shared" si="5"/>
        <v>0.43613445912221938</v>
      </c>
      <c r="P17" s="11">
        <f t="shared" si="6"/>
        <v>1</v>
      </c>
      <c r="Q17" s="11">
        <f t="shared" si="7"/>
        <v>0.50591143079104672</v>
      </c>
      <c r="R17" s="10">
        <f t="shared" si="8"/>
        <v>0.4655933668308061</v>
      </c>
      <c r="S17" s="10">
        <f t="shared" si="8"/>
        <v>0.56386554087778062</v>
      </c>
      <c r="T17" s="10">
        <f t="shared" si="0"/>
        <v>0</v>
      </c>
      <c r="U17" s="10">
        <f t="shared" si="0"/>
        <v>0.49408856920895328</v>
      </c>
      <c r="V17" s="10">
        <f t="shared" si="9"/>
        <v>0.51781631603483391</v>
      </c>
      <c r="W17" s="10">
        <f t="shared" si="1"/>
        <v>0.469984204571056</v>
      </c>
      <c r="X17" s="10">
        <f t="shared" si="1"/>
        <v>1</v>
      </c>
      <c r="Y17" s="10">
        <f t="shared" si="1"/>
        <v>0.50297329180424577</v>
      </c>
      <c r="Z17" s="11">
        <f t="shared" si="10"/>
        <v>0.62269345310253388</v>
      </c>
      <c r="AA17" s="3">
        <v>10</v>
      </c>
      <c r="AC17">
        <v>0.57689679269488037</v>
      </c>
      <c r="AD17">
        <v>14</v>
      </c>
    </row>
    <row r="18" spans="2:31" ht="18.75" x14ac:dyDescent="0.3">
      <c r="B18" s="10">
        <v>15</v>
      </c>
      <c r="C18" s="3">
        <v>105</v>
      </c>
      <c r="D18" s="3">
        <v>5</v>
      </c>
      <c r="E18" s="3">
        <v>1.5</v>
      </c>
      <c r="F18" s="11">
        <v>3.1358839285714384E-3</v>
      </c>
      <c r="G18" s="12">
        <v>0.8499999999999952</v>
      </c>
      <c r="H18" s="12">
        <v>9.4E-2</v>
      </c>
      <c r="I18" s="10">
        <v>2.4089999999999998</v>
      </c>
      <c r="J18" s="10">
        <f t="shared" si="2"/>
        <v>-50.072800412824947</v>
      </c>
      <c r="K18" s="10">
        <f t="shared" si="3"/>
        <v>1.4116214857141944</v>
      </c>
      <c r="L18" s="10">
        <f t="shared" si="3"/>
        <v>20.53744292800603</v>
      </c>
      <c r="M18" s="10">
        <f t="shared" si="3"/>
        <v>-7.6367359999668674</v>
      </c>
      <c r="N18" s="10">
        <f t="shared" si="4"/>
        <v>0.49060450748465562</v>
      </c>
      <c r="O18" s="10">
        <f t="shared" si="5"/>
        <v>0.53689857540909836</v>
      </c>
      <c r="P18" s="11">
        <f t="shared" si="6"/>
        <v>0.78167152898334147</v>
      </c>
      <c r="Q18" s="11">
        <f t="shared" si="7"/>
        <v>0.90165011502837544</v>
      </c>
      <c r="R18" s="10">
        <f t="shared" si="8"/>
        <v>0.50939549251534433</v>
      </c>
      <c r="S18" s="10">
        <f t="shared" si="8"/>
        <v>0.46310142459090164</v>
      </c>
      <c r="T18" s="10">
        <f t="shared" si="0"/>
        <v>0.21832847101665853</v>
      </c>
      <c r="U18" s="10">
        <f t="shared" si="0"/>
        <v>9.8349884971624557E-2</v>
      </c>
      <c r="V18" s="10">
        <f t="shared" si="9"/>
        <v>0.49534598054726231</v>
      </c>
      <c r="W18" s="10">
        <f t="shared" si="1"/>
        <v>0.51915612129053379</v>
      </c>
      <c r="X18" s="10">
        <f t="shared" si="1"/>
        <v>0.69606039600845038</v>
      </c>
      <c r="Y18" s="10">
        <f t="shared" si="1"/>
        <v>0.83563148010584376</v>
      </c>
      <c r="Z18" s="11">
        <f t="shared" si="10"/>
        <v>0.63654849448802264</v>
      </c>
      <c r="AA18" s="3">
        <v>8</v>
      </c>
      <c r="AC18">
        <v>0.57408917998821973</v>
      </c>
      <c r="AD18">
        <v>15</v>
      </c>
    </row>
    <row r="19" spans="2:31" s="7" customFormat="1" ht="18.75" x14ac:dyDescent="0.3">
      <c r="B19" s="20">
        <v>16</v>
      </c>
      <c r="C19" s="27">
        <v>105</v>
      </c>
      <c r="D19" s="27">
        <v>6</v>
      </c>
      <c r="E19" s="27">
        <v>0.5</v>
      </c>
      <c r="F19" s="28">
        <v>5.0743775510203992E-3</v>
      </c>
      <c r="G19" s="29">
        <v>0.87500000000000355</v>
      </c>
      <c r="H19" s="29">
        <v>0.09</v>
      </c>
      <c r="I19" s="20">
        <v>2.68</v>
      </c>
      <c r="J19" s="20">
        <f t="shared" si="2"/>
        <v>-45.892344458388472</v>
      </c>
      <c r="K19" s="20">
        <f t="shared" si="3"/>
        <v>1.1598389395536999</v>
      </c>
      <c r="L19" s="20">
        <f t="shared" si="3"/>
        <v>20.915149811213503</v>
      </c>
      <c r="M19" s="20">
        <f t="shared" si="3"/>
        <v>-8.5626958805757774</v>
      </c>
      <c r="N19" s="20">
        <f t="shared" si="4"/>
        <v>0.77485974377803013</v>
      </c>
      <c r="O19" s="20">
        <f t="shared" si="5"/>
        <v>0.63474157751654803</v>
      </c>
      <c r="P19" s="28">
        <f t="shared" si="6"/>
        <v>0.47946950773087432</v>
      </c>
      <c r="Q19" s="28">
        <f t="shared" si="7"/>
        <v>0.98308627953412098</v>
      </c>
      <c r="R19" s="20">
        <f t="shared" si="8"/>
        <v>0.22514025622196987</v>
      </c>
      <c r="S19" s="20">
        <f t="shared" si="8"/>
        <v>0.36525842248345197</v>
      </c>
      <c r="T19" s="20">
        <f t="shared" si="0"/>
        <v>0.52053049226912562</v>
      </c>
      <c r="U19" s="20">
        <f t="shared" si="0"/>
        <v>1.6913720465879023E-2</v>
      </c>
      <c r="V19" s="20">
        <f t="shared" si="9"/>
        <v>0.68952177969684658</v>
      </c>
      <c r="W19" s="20">
        <f t="shared" si="1"/>
        <v>0.57786204330136115</v>
      </c>
      <c r="X19" s="20">
        <f t="shared" si="1"/>
        <v>0.48994126465370152</v>
      </c>
      <c r="Y19" s="20">
        <f t="shared" si="1"/>
        <v>0.96727941279903507</v>
      </c>
      <c r="Z19" s="28">
        <f t="shared" si="10"/>
        <v>0.68115112511273612</v>
      </c>
      <c r="AA19" s="27">
        <v>3</v>
      </c>
      <c r="AB19"/>
      <c r="AC19">
        <v>0.56433255773312596</v>
      </c>
      <c r="AD19">
        <v>16</v>
      </c>
      <c r="AE19"/>
    </row>
    <row r="20" spans="2:31" s="7" customFormat="1" ht="18.75" x14ac:dyDescent="0.3">
      <c r="B20" s="13">
        <v>17</v>
      </c>
      <c r="C20" s="14">
        <v>105</v>
      </c>
      <c r="D20" s="14">
        <v>6</v>
      </c>
      <c r="E20" s="14">
        <v>1</v>
      </c>
      <c r="F20" s="15">
        <v>5.8727202127659851E-3</v>
      </c>
      <c r="G20" s="16">
        <v>0.89500000000000135</v>
      </c>
      <c r="H20" s="16">
        <v>8.6999999999999994E-2</v>
      </c>
      <c r="I20" s="13">
        <v>2.5499999999999998</v>
      </c>
      <c r="J20" s="13">
        <f t="shared" si="2"/>
        <v>-44.623213785103317</v>
      </c>
      <c r="K20" s="13">
        <f t="shared" si="3"/>
        <v>0.96353929368174729</v>
      </c>
      <c r="L20" s="13">
        <f t="shared" si="3"/>
        <v>21.209614947627632</v>
      </c>
      <c r="M20" s="13">
        <f t="shared" si="3"/>
        <v>-8.1308036086791038</v>
      </c>
      <c r="N20" s="13">
        <f t="shared" si="4"/>
        <v>0.86115584242224386</v>
      </c>
      <c r="O20" s="13">
        <f t="shared" si="5"/>
        <v>0.71102385743478425</v>
      </c>
      <c r="P20" s="15">
        <f t="shared" si="6"/>
        <v>0.24386893128108714</v>
      </c>
      <c r="Q20" s="15">
        <f t="shared" si="7"/>
        <v>0.94510229033600501</v>
      </c>
      <c r="R20" s="13">
        <f t="shared" si="8"/>
        <v>0.13884415757775614</v>
      </c>
      <c r="S20" s="13">
        <f t="shared" si="8"/>
        <v>0.28897614256521575</v>
      </c>
      <c r="T20" s="13">
        <f t="shared" si="8"/>
        <v>0.75613106871891289</v>
      </c>
      <c r="U20" s="13">
        <f t="shared" si="8"/>
        <v>5.4897709663994987E-2</v>
      </c>
      <c r="V20" s="13">
        <f t="shared" si="9"/>
        <v>0.78266349323096551</v>
      </c>
      <c r="W20" s="13">
        <f t="shared" si="9"/>
        <v>0.63373272400143665</v>
      </c>
      <c r="X20" s="13">
        <f t="shared" si="9"/>
        <v>0.39804763408163585</v>
      </c>
      <c r="Y20" s="13">
        <f t="shared" si="9"/>
        <v>0.90106697377209044</v>
      </c>
      <c r="Z20" s="15">
        <f t="shared" si="10"/>
        <v>0.6788777062715321</v>
      </c>
      <c r="AA20" s="14">
        <v>4</v>
      </c>
      <c r="AB20"/>
      <c r="AC20">
        <v>0.55333583375385242</v>
      </c>
      <c r="AD20">
        <v>17</v>
      </c>
      <c r="AE20"/>
    </row>
    <row r="21" spans="2:31" s="7" customFormat="1" ht="18.75" x14ac:dyDescent="0.3">
      <c r="B21" s="19">
        <v>18</v>
      </c>
      <c r="C21" s="24">
        <v>105</v>
      </c>
      <c r="D21" s="24">
        <v>6</v>
      </c>
      <c r="E21" s="24">
        <v>1.5</v>
      </c>
      <c r="F21" s="25">
        <v>4.7366714999999967E-3</v>
      </c>
      <c r="G21" s="26">
        <v>0.85749999999999993</v>
      </c>
      <c r="H21" s="26">
        <v>9.1999999999999998E-2</v>
      </c>
      <c r="I21" s="19">
        <v>2.73</v>
      </c>
      <c r="J21" s="19">
        <f t="shared" si="2"/>
        <v>-46.490534672695688</v>
      </c>
      <c r="K21" s="19">
        <f t="shared" si="3"/>
        <v>1.3353174257038389</v>
      </c>
      <c r="L21" s="19">
        <f t="shared" si="3"/>
        <v>20.724243453088892</v>
      </c>
      <c r="M21" s="19">
        <f t="shared" si="3"/>
        <v>-8.7232529408151205</v>
      </c>
      <c r="N21" s="19">
        <f t="shared" si="4"/>
        <v>0.73418506556838892</v>
      </c>
      <c r="O21" s="19">
        <f t="shared" si="5"/>
        <v>0.56655042546085377</v>
      </c>
      <c r="P21" s="25">
        <f t="shared" si="6"/>
        <v>0.63221305003882466</v>
      </c>
      <c r="Q21" s="25">
        <f t="shared" si="7"/>
        <v>0.99720692497894525</v>
      </c>
      <c r="R21" s="19">
        <f t="shared" si="8"/>
        <v>0.26581493443161108</v>
      </c>
      <c r="S21" s="19">
        <f t="shared" si="8"/>
        <v>0.43344957453914623</v>
      </c>
      <c r="T21" s="19">
        <f t="shared" si="8"/>
        <v>0.36778694996117534</v>
      </c>
      <c r="U21" s="19">
        <f t="shared" si="8"/>
        <v>2.7930750210547473E-3</v>
      </c>
      <c r="V21" s="19">
        <f t="shared" si="9"/>
        <v>0.65289925479332767</v>
      </c>
      <c r="W21" s="19">
        <f t="shared" si="9"/>
        <v>0.53564757394297946</v>
      </c>
      <c r="X21" s="19">
        <f t="shared" si="9"/>
        <v>0.57617828894796119</v>
      </c>
      <c r="Y21" s="19">
        <f t="shared" si="9"/>
        <v>0.99444488168231482</v>
      </c>
      <c r="Z21" s="25">
        <f t="shared" si="10"/>
        <v>0.68979249984164581</v>
      </c>
      <c r="AA21" s="24">
        <v>1</v>
      </c>
      <c r="AB21"/>
      <c r="AC21">
        <v>0.54016631444315311</v>
      </c>
      <c r="AD21">
        <v>18</v>
      </c>
      <c r="AE21"/>
    </row>
    <row r="22" spans="2:31" ht="18.75" x14ac:dyDescent="0.3">
      <c r="B22" s="10">
        <v>19</v>
      </c>
      <c r="C22" s="3">
        <v>115</v>
      </c>
      <c r="D22" s="3">
        <v>4</v>
      </c>
      <c r="E22" s="3">
        <v>0.5</v>
      </c>
      <c r="F22" s="11">
        <v>2.4191430327868786E-3</v>
      </c>
      <c r="G22" s="12">
        <v>0.90500000000000025</v>
      </c>
      <c r="H22" s="12">
        <v>8.8999999999999996E-2</v>
      </c>
      <c r="I22" s="10">
        <v>2.5019999999999998</v>
      </c>
      <c r="J22" s="10">
        <f t="shared" si="2"/>
        <v>-52.326769060925699</v>
      </c>
      <c r="K22" s="10">
        <f t="shared" si="3"/>
        <v>0.86702841589593127</v>
      </c>
      <c r="L22" s="10">
        <f t="shared" si="3"/>
        <v>21.012199867101742</v>
      </c>
      <c r="M22" s="10">
        <f t="shared" si="3"/>
        <v>-7.9657461071480213</v>
      </c>
      <c r="N22" s="10">
        <f t="shared" si="4"/>
        <v>0.33734314134496529</v>
      </c>
      <c r="O22" s="10">
        <f t="shared" si="5"/>
        <v>0.74852810132534431</v>
      </c>
      <c r="P22" s="11">
        <f t="shared" si="6"/>
        <v>0.40182008073861952</v>
      </c>
      <c r="Q22" s="11">
        <f t="shared" si="7"/>
        <v>0.93058584083416107</v>
      </c>
      <c r="R22" s="10">
        <f t="shared" si="8"/>
        <v>0.66265685865503476</v>
      </c>
      <c r="S22" s="10">
        <f t="shared" si="8"/>
        <v>0.25147189867465569</v>
      </c>
      <c r="T22" s="10">
        <f t="shared" si="8"/>
        <v>0.59817991926138048</v>
      </c>
      <c r="U22" s="10">
        <f t="shared" si="8"/>
        <v>6.9414159165838929E-2</v>
      </c>
      <c r="V22" s="10">
        <f t="shared" si="9"/>
        <v>0.4300494993668223</v>
      </c>
      <c r="W22" s="10">
        <f t="shared" si="9"/>
        <v>0.66536087494666429</v>
      </c>
      <c r="X22" s="10">
        <f t="shared" si="9"/>
        <v>0.45529880052468324</v>
      </c>
      <c r="Y22" s="10">
        <f t="shared" si="9"/>
        <v>0.87809548103347668</v>
      </c>
      <c r="Z22" s="11">
        <f t="shared" si="10"/>
        <v>0.60720116396791157</v>
      </c>
      <c r="AA22" s="3">
        <v>11</v>
      </c>
      <c r="AC22">
        <v>0.5302445103490353</v>
      </c>
      <c r="AD22">
        <v>19</v>
      </c>
    </row>
    <row r="23" spans="2:31" ht="18.75" x14ac:dyDescent="0.3">
      <c r="B23" s="10">
        <v>20</v>
      </c>
      <c r="C23" s="3">
        <v>115</v>
      </c>
      <c r="D23" s="3">
        <v>4</v>
      </c>
      <c r="E23" s="3">
        <v>1</v>
      </c>
      <c r="F23" s="11">
        <v>1.5151404069767415E-3</v>
      </c>
      <c r="G23" s="12">
        <v>0.90749999999999442</v>
      </c>
      <c r="H23" s="12">
        <v>8.5999999999999993E-2</v>
      </c>
      <c r="I23" s="10">
        <v>2.5499999999999998</v>
      </c>
      <c r="J23" s="10">
        <f t="shared" si="2"/>
        <v>-56.390942390761715</v>
      </c>
      <c r="K23" s="10">
        <f t="shared" si="3"/>
        <v>0.8430673258370508</v>
      </c>
      <c r="L23" s="10">
        <f t="shared" si="3"/>
        <v>21.310030975128647</v>
      </c>
      <c r="M23" s="10">
        <f t="shared" si="3"/>
        <v>-8.1308036086791038</v>
      </c>
      <c r="N23" s="10">
        <f t="shared" si="4"/>
        <v>6.0994684908352317E-2</v>
      </c>
      <c r="O23" s="10">
        <f t="shared" si="5"/>
        <v>0.75783940991634346</v>
      </c>
      <c r="P23" s="11">
        <f t="shared" si="6"/>
        <v>0.1635264015944323</v>
      </c>
      <c r="Q23" s="11">
        <f t="shared" si="7"/>
        <v>0.94510229033600501</v>
      </c>
      <c r="R23" s="10">
        <f t="shared" si="8"/>
        <v>0.93900531509164764</v>
      </c>
      <c r="S23" s="10">
        <f t="shared" si="8"/>
        <v>0.24216059008365654</v>
      </c>
      <c r="T23" s="10">
        <f t="shared" si="8"/>
        <v>0.83647359840556768</v>
      </c>
      <c r="U23" s="10">
        <f t="shared" si="8"/>
        <v>5.4897709663994987E-2</v>
      </c>
      <c r="V23" s="10">
        <f t="shared" si="9"/>
        <v>0.34746223294398038</v>
      </c>
      <c r="W23" s="10">
        <f t="shared" si="9"/>
        <v>0.67370863756540866</v>
      </c>
      <c r="X23" s="10">
        <f t="shared" si="9"/>
        <v>0.37411887567139918</v>
      </c>
      <c r="Y23" s="10">
        <f t="shared" si="9"/>
        <v>0.90106697377209044</v>
      </c>
      <c r="Z23" s="11">
        <f t="shared" si="10"/>
        <v>0.57408917998821973</v>
      </c>
      <c r="AA23" s="3">
        <v>15</v>
      </c>
      <c r="AC23">
        <v>0.507301815162161</v>
      </c>
      <c r="AD23">
        <v>20</v>
      </c>
    </row>
    <row r="24" spans="2:31" ht="18.75" x14ac:dyDescent="0.3">
      <c r="B24" s="10">
        <v>21</v>
      </c>
      <c r="C24" s="3">
        <v>115</v>
      </c>
      <c r="D24" s="3">
        <v>4</v>
      </c>
      <c r="E24" s="3">
        <v>1.5</v>
      </c>
      <c r="F24" s="11">
        <v>1.9939734251968482E-3</v>
      </c>
      <c r="G24" s="12">
        <v>0.8999999999999897</v>
      </c>
      <c r="H24" s="12">
        <v>8.7999999999999995E-2</v>
      </c>
      <c r="I24" s="10">
        <v>2.5840000000000001</v>
      </c>
      <c r="J24" s="10">
        <f t="shared" si="2"/>
        <v>-54.005612681442877</v>
      </c>
      <c r="K24" s="10">
        <f t="shared" si="3"/>
        <v>0.91514981121360228</v>
      </c>
      <c r="L24" s="10">
        <f t="shared" si="3"/>
        <v>21.110346556996625</v>
      </c>
      <c r="M24" s="10">
        <f t="shared" si="3"/>
        <v>-8.245850186460931</v>
      </c>
      <c r="N24" s="10">
        <f t="shared" si="4"/>
        <v>0.22318810771919803</v>
      </c>
      <c r="O24" s="10">
        <f t="shared" si="5"/>
        <v>0.72982806887560081</v>
      </c>
      <c r="P24" s="11">
        <f t="shared" si="6"/>
        <v>0.32329324052432479</v>
      </c>
      <c r="Q24" s="11">
        <f t="shared" si="7"/>
        <v>0.95522038749147009</v>
      </c>
      <c r="R24" s="10">
        <f t="shared" si="8"/>
        <v>0.77681189228080194</v>
      </c>
      <c r="S24" s="10">
        <f t="shared" si="8"/>
        <v>0.27017193112439919</v>
      </c>
      <c r="T24" s="10">
        <f t="shared" si="8"/>
        <v>0.67670675947567527</v>
      </c>
      <c r="U24" s="10">
        <f t="shared" si="8"/>
        <v>4.4779612508529909E-2</v>
      </c>
      <c r="V24" s="10">
        <f t="shared" si="9"/>
        <v>0.3916003626084944</v>
      </c>
      <c r="W24" s="10">
        <f t="shared" si="9"/>
        <v>0.6492056900464207</v>
      </c>
      <c r="X24" s="10">
        <f t="shared" si="9"/>
        <v>0.4249147002629553</v>
      </c>
      <c r="Y24" s="10">
        <f t="shared" si="9"/>
        <v>0.91780233422771718</v>
      </c>
      <c r="Z24" s="11">
        <f t="shared" si="10"/>
        <v>0.59588077178639687</v>
      </c>
      <c r="AA24" s="3">
        <v>12</v>
      </c>
      <c r="AC24">
        <v>0.50528910898904267</v>
      </c>
      <c r="AD24">
        <v>21</v>
      </c>
    </row>
    <row r="25" spans="2:31" ht="18.75" x14ac:dyDescent="0.3">
      <c r="B25" s="10">
        <v>22</v>
      </c>
      <c r="C25" s="3">
        <v>115</v>
      </c>
      <c r="D25" s="3">
        <v>5</v>
      </c>
      <c r="E25" s="3">
        <v>0.5</v>
      </c>
      <c r="F25" s="11">
        <v>1.671521250000012E-3</v>
      </c>
      <c r="G25" s="12">
        <v>0.76749999999999874</v>
      </c>
      <c r="H25" s="12">
        <v>0.09</v>
      </c>
      <c r="I25" s="10">
        <v>2.601</v>
      </c>
      <c r="J25" s="10">
        <f t="shared" si="2"/>
        <v>-55.537761957269318</v>
      </c>
      <c r="K25" s="10">
        <f t="shared" si="3"/>
        <v>2.2984323170155325</v>
      </c>
      <c r="L25" s="10">
        <f t="shared" si="3"/>
        <v>20.915149811213503</v>
      </c>
      <c r="M25" s="10">
        <f t="shared" si="3"/>
        <v>-8.3028070439174542</v>
      </c>
      <c r="N25" s="10">
        <f t="shared" si="4"/>
        <v>0.1190077362038436</v>
      </c>
      <c r="O25" s="10">
        <f t="shared" si="5"/>
        <v>0.19228281327991137</v>
      </c>
      <c r="P25" s="11">
        <f t="shared" si="6"/>
        <v>0.47946950773087432</v>
      </c>
      <c r="Q25" s="11">
        <f t="shared" si="7"/>
        <v>0.96022961965227338</v>
      </c>
      <c r="R25" s="10">
        <f t="shared" si="8"/>
        <v>0.88099226379615636</v>
      </c>
      <c r="S25" s="10">
        <f t="shared" si="8"/>
        <v>0.80771718672008863</v>
      </c>
      <c r="T25" s="10">
        <f t="shared" si="8"/>
        <v>0.52053049226912562</v>
      </c>
      <c r="U25" s="10">
        <f t="shared" si="8"/>
        <v>3.9770380347726619E-2</v>
      </c>
      <c r="V25" s="10">
        <f t="shared" si="9"/>
        <v>0.36205850902130998</v>
      </c>
      <c r="W25" s="10">
        <f t="shared" si="9"/>
        <v>0.38234566699705153</v>
      </c>
      <c r="X25" s="10">
        <f t="shared" si="9"/>
        <v>0.48994126465370152</v>
      </c>
      <c r="Y25" s="10">
        <f t="shared" si="9"/>
        <v>0.92631981710054923</v>
      </c>
      <c r="Z25" s="11">
        <f t="shared" si="10"/>
        <v>0.54016631444315311</v>
      </c>
      <c r="AA25" s="3">
        <v>18</v>
      </c>
      <c r="AC25">
        <v>0.50311013391163462</v>
      </c>
      <c r="AD25">
        <v>22</v>
      </c>
    </row>
    <row r="26" spans="2:31" ht="18.75" x14ac:dyDescent="0.3">
      <c r="B26" s="10">
        <v>23</v>
      </c>
      <c r="C26" s="3">
        <v>115</v>
      </c>
      <c r="D26" s="3">
        <v>5</v>
      </c>
      <c r="E26" s="3">
        <v>1</v>
      </c>
      <c r="F26" s="11">
        <v>1.3664739583333406E-3</v>
      </c>
      <c r="G26" s="12">
        <v>0.76000000000000512</v>
      </c>
      <c r="H26" s="12">
        <v>0.09</v>
      </c>
      <c r="I26" s="10">
        <v>2.5979999999999999</v>
      </c>
      <c r="J26" s="10">
        <f t="shared" si="2"/>
        <v>-57.287972809757875</v>
      </c>
      <c r="K26" s="10">
        <f t="shared" si="3"/>
        <v>2.3837281543841145</v>
      </c>
      <c r="L26" s="10">
        <f t="shared" si="3"/>
        <v>20.915149811213503</v>
      </c>
      <c r="M26" s="10">
        <f t="shared" si="3"/>
        <v>-8.2927829347401811</v>
      </c>
      <c r="N26" s="10">
        <f t="shared" si="4"/>
        <v>0</v>
      </c>
      <c r="O26" s="10">
        <f t="shared" si="5"/>
        <v>0.15913674766624852</v>
      </c>
      <c r="P26" s="11">
        <f t="shared" si="6"/>
        <v>0.47946950773087432</v>
      </c>
      <c r="Q26" s="11">
        <f t="shared" si="7"/>
        <v>0.95934802097712657</v>
      </c>
      <c r="R26" s="10">
        <f t="shared" si="8"/>
        <v>1</v>
      </c>
      <c r="S26" s="10">
        <f t="shared" si="8"/>
        <v>0.84086325233375148</v>
      </c>
      <c r="T26" s="10">
        <f t="shared" si="8"/>
        <v>0.52053049226912562</v>
      </c>
      <c r="U26" s="10">
        <f t="shared" si="8"/>
        <v>4.065197902287343E-2</v>
      </c>
      <c r="V26" s="10">
        <f t="shared" si="9"/>
        <v>0.33333333333333331</v>
      </c>
      <c r="W26" s="10">
        <f t="shared" si="9"/>
        <v>0.37289410320534766</v>
      </c>
      <c r="X26" s="10">
        <f t="shared" si="9"/>
        <v>0.48994126465370152</v>
      </c>
      <c r="Y26" s="10">
        <f t="shared" si="9"/>
        <v>0.92480934020375871</v>
      </c>
      <c r="Z26" s="11">
        <f t="shared" si="10"/>
        <v>0.5302445103490353</v>
      </c>
      <c r="AA26" s="3">
        <v>19</v>
      </c>
      <c r="AC26">
        <v>0.49865204842841876</v>
      </c>
      <c r="AD26">
        <v>23</v>
      </c>
    </row>
    <row r="27" spans="2:31" ht="18.75" x14ac:dyDescent="0.3">
      <c r="B27" s="10">
        <v>24</v>
      </c>
      <c r="C27" s="3">
        <v>115</v>
      </c>
      <c r="D27" s="3">
        <v>5</v>
      </c>
      <c r="E27" s="3">
        <v>1.5</v>
      </c>
      <c r="F27" s="11">
        <v>1.8038556338028163E-3</v>
      </c>
      <c r="G27" s="12">
        <v>0.77499999999999236</v>
      </c>
      <c r="H27" s="12">
        <v>8.7999999999999995E-2</v>
      </c>
      <c r="I27" s="10">
        <v>2.4140000000000001</v>
      </c>
      <c r="J27" s="10">
        <f t="shared" si="2"/>
        <v>-54.875964457296675</v>
      </c>
      <c r="K27" s="10">
        <f t="shared" si="3"/>
        <v>2.2139659498738795</v>
      </c>
      <c r="L27" s="10">
        <f t="shared" si="3"/>
        <v>21.110346556996625</v>
      </c>
      <c r="M27" s="10">
        <f t="shared" si="3"/>
        <v>-7.6547453152266085</v>
      </c>
      <c r="N27" s="10">
        <f t="shared" si="4"/>
        <v>0.164007469913141</v>
      </c>
      <c r="O27" s="10">
        <f t="shared" si="5"/>
        <v>0.22510654575968914</v>
      </c>
      <c r="P27" s="11">
        <f t="shared" si="6"/>
        <v>0.32329324052432479</v>
      </c>
      <c r="Q27" s="11">
        <f t="shared" si="7"/>
        <v>0.90323399527075021</v>
      </c>
      <c r="R27" s="10">
        <f t="shared" si="8"/>
        <v>0.83599253008685903</v>
      </c>
      <c r="S27" s="10">
        <f t="shared" si="8"/>
        <v>0.77489345424031086</v>
      </c>
      <c r="T27" s="10">
        <f t="shared" si="8"/>
        <v>0.67670675947567527</v>
      </c>
      <c r="U27" s="10">
        <f t="shared" si="8"/>
        <v>9.6766004729249788E-2</v>
      </c>
      <c r="V27" s="10">
        <f t="shared" si="9"/>
        <v>0.37425358955225052</v>
      </c>
      <c r="W27" s="10">
        <f t="shared" si="9"/>
        <v>0.39218963619037661</v>
      </c>
      <c r="X27" s="10">
        <f t="shared" si="9"/>
        <v>0.4249147002629553</v>
      </c>
      <c r="Y27" s="10">
        <f t="shared" si="9"/>
        <v>0.83784933464306144</v>
      </c>
      <c r="Z27" s="11">
        <f t="shared" si="10"/>
        <v>0.507301815162161</v>
      </c>
      <c r="AA27" s="3">
        <v>20</v>
      </c>
      <c r="AC27">
        <v>0.47195805195124718</v>
      </c>
      <c r="AD27">
        <v>24</v>
      </c>
    </row>
    <row r="28" spans="2:31" ht="18.75" x14ac:dyDescent="0.3">
      <c r="B28" s="10">
        <v>25</v>
      </c>
      <c r="C28" s="3">
        <v>115</v>
      </c>
      <c r="D28" s="3">
        <v>6</v>
      </c>
      <c r="E28" s="3">
        <v>0.5</v>
      </c>
      <c r="F28" s="11">
        <v>7.42910106382979E-3</v>
      </c>
      <c r="G28" s="12">
        <v>0.77499999999999236</v>
      </c>
      <c r="H28" s="12">
        <v>8.6999999999999994E-2</v>
      </c>
      <c r="I28" s="10">
        <v>2.65</v>
      </c>
      <c r="J28" s="10">
        <f t="shared" si="2"/>
        <v>-42.581274671321808</v>
      </c>
      <c r="K28" s="10">
        <f t="shared" si="3"/>
        <v>2.2139659498738795</v>
      </c>
      <c r="L28" s="10">
        <f t="shared" si="3"/>
        <v>21.209614947627632</v>
      </c>
      <c r="M28" s="10">
        <f t="shared" si="3"/>
        <v>-8.4649174787361563</v>
      </c>
      <c r="N28" s="10">
        <f t="shared" si="4"/>
        <v>1</v>
      </c>
      <c r="O28" s="10">
        <f t="shared" si="5"/>
        <v>0.22510654575968914</v>
      </c>
      <c r="P28" s="11">
        <f t="shared" si="6"/>
        <v>0.24386893128108714</v>
      </c>
      <c r="Q28" s="11">
        <f t="shared" si="7"/>
        <v>0.97448688102445347</v>
      </c>
      <c r="R28" s="10">
        <f t="shared" si="8"/>
        <v>0</v>
      </c>
      <c r="S28" s="10">
        <f t="shared" si="8"/>
        <v>0.77489345424031086</v>
      </c>
      <c r="T28" s="10">
        <f t="shared" si="8"/>
        <v>0.75613106871891289</v>
      </c>
      <c r="U28" s="10">
        <f t="shared" si="8"/>
        <v>2.5513118975546534E-2</v>
      </c>
      <c r="V28" s="10">
        <f t="shared" si="9"/>
        <v>1</v>
      </c>
      <c r="W28" s="10">
        <f t="shared" si="9"/>
        <v>0.39218963619037661</v>
      </c>
      <c r="X28" s="10">
        <f t="shared" si="9"/>
        <v>0.39804763408163585</v>
      </c>
      <c r="Y28" s="10">
        <f t="shared" si="9"/>
        <v>0.95145103318203994</v>
      </c>
      <c r="Z28" s="11">
        <f t="shared" si="10"/>
        <v>0.68542207586351311</v>
      </c>
      <c r="AA28" s="3">
        <v>2</v>
      </c>
      <c r="AC28">
        <v>0.45181861723140004</v>
      </c>
      <c r="AD28">
        <v>25</v>
      </c>
    </row>
    <row r="29" spans="2:31" ht="18.75" x14ac:dyDescent="0.3">
      <c r="B29" s="10">
        <v>26</v>
      </c>
      <c r="C29" s="3">
        <v>115</v>
      </c>
      <c r="D29" s="3">
        <v>6</v>
      </c>
      <c r="E29" s="3">
        <v>1</v>
      </c>
      <c r="F29" s="11">
        <v>6.6286744791666831E-3</v>
      </c>
      <c r="G29" s="12">
        <v>0.75000000000000622</v>
      </c>
      <c r="H29" s="12">
        <v>8.5000000000000006E-2</v>
      </c>
      <c r="I29" s="10">
        <v>2.74</v>
      </c>
      <c r="J29" s="10">
        <f t="shared" si="2"/>
        <v>-43.571466155696584</v>
      </c>
      <c r="K29" s="10">
        <f t="shared" si="3"/>
        <v>2.498774732165927</v>
      </c>
      <c r="L29" s="10">
        <f t="shared" si="3"/>
        <v>21.411621485714143</v>
      </c>
      <c r="M29" s="10">
        <f t="shared" si="3"/>
        <v>-8.7550112564077605</v>
      </c>
      <c r="N29" s="10">
        <f t="shared" si="4"/>
        <v>0.93267071404784574</v>
      </c>
      <c r="O29" s="10">
        <f t="shared" si="5"/>
        <v>0.11442950832811945</v>
      </c>
      <c r="P29" s="11">
        <f t="shared" si="6"/>
        <v>8.2244171897434659E-2</v>
      </c>
      <c r="Q29" s="11">
        <f t="shared" si="7"/>
        <v>1</v>
      </c>
      <c r="R29" s="10">
        <f t="shared" si="8"/>
        <v>6.7329285952154261E-2</v>
      </c>
      <c r="S29" s="10">
        <f t="shared" si="8"/>
        <v>0.88557049167188051</v>
      </c>
      <c r="T29" s="10">
        <f t="shared" si="8"/>
        <v>0.91775582810256529</v>
      </c>
      <c r="U29" s="10">
        <f t="shared" si="8"/>
        <v>0</v>
      </c>
      <c r="V29" s="10">
        <f t="shared" si="9"/>
        <v>0.88132238610041991</v>
      </c>
      <c r="W29" s="10">
        <f t="shared" si="9"/>
        <v>0.3608621885391638</v>
      </c>
      <c r="X29" s="10">
        <f t="shared" si="9"/>
        <v>0.352670036750382</v>
      </c>
      <c r="Y29" s="10">
        <f t="shared" si="9"/>
        <v>1</v>
      </c>
      <c r="Z29" s="11">
        <f t="shared" si="10"/>
        <v>0.64871365284749138</v>
      </c>
      <c r="AA29" s="3">
        <v>7</v>
      </c>
      <c r="AC29">
        <v>0.44809216111995653</v>
      </c>
      <c r="AD29">
        <v>26</v>
      </c>
    </row>
    <row r="30" spans="2:31" ht="18.75" x14ac:dyDescent="0.3">
      <c r="B30" s="10">
        <v>27</v>
      </c>
      <c r="C30" s="3">
        <v>115</v>
      </c>
      <c r="D30" s="3">
        <v>6</v>
      </c>
      <c r="E30" s="3">
        <v>1.5</v>
      </c>
      <c r="F30" s="11">
        <v>7.3200244565217428E-3</v>
      </c>
      <c r="G30" s="12">
        <v>0.80000000000000071</v>
      </c>
      <c r="H30" s="12">
        <v>8.4000000000000005E-2</v>
      </c>
      <c r="I30" s="10">
        <v>2.56</v>
      </c>
      <c r="J30" s="10">
        <f t="shared" si="2"/>
        <v>-42.709749358846658</v>
      </c>
      <c r="K30" s="10">
        <f t="shared" si="3"/>
        <v>1.9382002601611206</v>
      </c>
      <c r="L30" s="10">
        <f t="shared" si="3"/>
        <v>21.514414278762366</v>
      </c>
      <c r="M30" s="10">
        <f t="shared" si="3"/>
        <v>-8.1647993062369917</v>
      </c>
      <c r="N30" s="10">
        <f t="shared" si="4"/>
        <v>0.99126420585263253</v>
      </c>
      <c r="O30" s="10">
        <f t="shared" si="5"/>
        <v>0.33226942647235269</v>
      </c>
      <c r="P30" s="11">
        <f t="shared" si="6"/>
        <v>0</v>
      </c>
      <c r="Q30" s="11">
        <f t="shared" si="7"/>
        <v>0.94809213825143657</v>
      </c>
      <c r="R30" s="10">
        <f t="shared" si="8"/>
        <v>8.7357941473674705E-3</v>
      </c>
      <c r="S30" s="10">
        <f t="shared" si="8"/>
        <v>0.66773057352764731</v>
      </c>
      <c r="T30" s="10">
        <f t="shared" si="8"/>
        <v>1</v>
      </c>
      <c r="U30" s="10">
        <f t="shared" si="8"/>
        <v>5.1907861748563433E-2</v>
      </c>
      <c r="V30" s="10">
        <f t="shared" si="9"/>
        <v>0.98282842637009937</v>
      </c>
      <c r="W30" s="10">
        <f t="shared" si="9"/>
        <v>0.42818096171750353</v>
      </c>
      <c r="X30" s="10">
        <f t="shared" si="9"/>
        <v>0.33333333333333331</v>
      </c>
      <c r="Y30" s="10">
        <f t="shared" si="9"/>
        <v>0.90594831973563827</v>
      </c>
      <c r="Z30" s="11">
        <f t="shared" si="10"/>
        <v>0.66257276028914358</v>
      </c>
      <c r="AA30" s="3">
        <v>5</v>
      </c>
      <c r="AC30">
        <v>0.43382869153576664</v>
      </c>
      <c r="AD30">
        <v>27</v>
      </c>
    </row>
    <row r="31" spans="2:31" ht="18.75" x14ac:dyDescent="0.3">
      <c r="B31" s="20">
        <v>28</v>
      </c>
      <c r="C31" s="27">
        <v>105</v>
      </c>
      <c r="D31" s="27">
        <v>6</v>
      </c>
      <c r="E31" s="27">
        <v>1.5</v>
      </c>
      <c r="F31" s="20">
        <v>6.7000000000000002E-3</v>
      </c>
      <c r="G31" s="20">
        <v>0.85399999999999998</v>
      </c>
      <c r="H31" s="20">
        <v>8.8999999999999996E-2</v>
      </c>
      <c r="I31" s="20">
        <v>2.67</v>
      </c>
      <c r="J31" s="20">
        <f t="shared" si="2"/>
        <v>-43.478503945983469</v>
      </c>
      <c r="K31" s="20">
        <f t="shared" si="3"/>
        <v>1.370842586219899</v>
      </c>
      <c r="L31" s="20">
        <f t="shared" si="3"/>
        <v>21.012199867101742</v>
      </c>
      <c r="M31" s="20">
        <f t="shared" si="3"/>
        <v>-8.5302252272915045</v>
      </c>
      <c r="N31" s="20">
        <f t="shared" si="4"/>
        <v>0.93899179365647367</v>
      </c>
      <c r="O31" s="20">
        <f t="shared" si="5"/>
        <v>0.55274530509709074</v>
      </c>
      <c r="P31" s="20">
        <f t="shared" si="6"/>
        <v>0.40182008073861952</v>
      </c>
      <c r="Q31" s="20">
        <f t="shared" si="7"/>
        <v>0.98023055595706055</v>
      </c>
      <c r="R31" s="20">
        <f t="shared" si="8"/>
        <v>6.1008206343526328E-2</v>
      </c>
      <c r="S31" s="20">
        <f t="shared" si="8"/>
        <v>0.44725469490290926</v>
      </c>
      <c r="T31" s="20">
        <f t="shared" si="8"/>
        <v>0.59817991926138048</v>
      </c>
      <c r="U31" s="20">
        <f t="shared" si="8"/>
        <v>1.9769444042939455E-2</v>
      </c>
      <c r="V31" s="20">
        <f t="shared" si="9"/>
        <v>0.89125255984906449</v>
      </c>
      <c r="W31" s="20">
        <f t="shared" si="9"/>
        <v>0.52784114208190702</v>
      </c>
      <c r="X31" s="20">
        <f t="shared" si="9"/>
        <v>0.45529880052468324</v>
      </c>
      <c r="Y31" s="20">
        <f t="shared" si="9"/>
        <v>0.96196497452954111</v>
      </c>
      <c r="Z31" s="20">
        <f t="shared" si="10"/>
        <v>0.70908936924629895</v>
      </c>
      <c r="AA31" s="27"/>
    </row>
    <row r="32" spans="2:31" ht="18.75" x14ac:dyDescent="0.3">
      <c r="B32" s="8"/>
      <c r="C32" s="9"/>
      <c r="D32" s="9"/>
      <c r="E32" s="9"/>
      <c r="F32" s="8"/>
      <c r="G32" s="8"/>
      <c r="H32" s="8"/>
      <c r="I32" s="17" t="s">
        <v>15</v>
      </c>
      <c r="J32" s="18">
        <f>MAX(J4:J31)</f>
        <v>-42.581274671321808</v>
      </c>
      <c r="K32" s="18">
        <f t="shared" ref="K32:M32" si="11">MAX(K4:K31)</f>
        <v>2.7932398685801516</v>
      </c>
      <c r="L32" s="18">
        <f t="shared" si="11"/>
        <v>21.514414278762366</v>
      </c>
      <c r="M32" s="18">
        <f t="shared" si="11"/>
        <v>2.6153656053804761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spans="2:27" ht="18.75" x14ac:dyDescent="0.3">
      <c r="B33" s="8"/>
      <c r="C33" s="9"/>
      <c r="D33" s="9"/>
      <c r="E33" s="9"/>
      <c r="F33" s="8"/>
      <c r="G33" s="8"/>
      <c r="H33" s="8"/>
      <c r="I33" s="3" t="s">
        <v>16</v>
      </c>
      <c r="J33" s="10">
        <f>MIN(J4:J31)</f>
        <v>-57.287972809757875</v>
      </c>
      <c r="K33" s="10">
        <f t="shared" ref="K33:M33" si="12">MIN(K4:K31)</f>
        <v>0.21990768602926394</v>
      </c>
      <c r="L33" s="10">
        <f t="shared" si="12"/>
        <v>20.264565314675103</v>
      </c>
      <c r="M33" s="10">
        <f t="shared" si="12"/>
        <v>-8.7550112564077605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spans="2:27" ht="18.75" x14ac:dyDescent="0.3">
      <c r="B34" s="8"/>
      <c r="C34" s="9"/>
      <c r="D34" s="9"/>
      <c r="E34" s="9"/>
      <c r="F34" s="8"/>
      <c r="G34" s="8"/>
      <c r="H34" s="8"/>
      <c r="I34" s="3" t="s">
        <v>17</v>
      </c>
      <c r="J34" s="10">
        <f>J32-J33</f>
        <v>14.706698138436067</v>
      </c>
      <c r="K34" s="10">
        <f t="shared" ref="K34:M34" si="13">K32-K33</f>
        <v>2.5733321825508875</v>
      </c>
      <c r="L34" s="10">
        <f t="shared" si="13"/>
        <v>1.2498489640872634</v>
      </c>
      <c r="M34" s="10">
        <f t="shared" si="13"/>
        <v>11.370376861788237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6" spans="2:27" ht="18.75" x14ac:dyDescent="0.3">
      <c r="O36" s="8"/>
    </row>
    <row r="37" spans="2:27" ht="49.5" customHeight="1" x14ac:dyDescent="0.3">
      <c r="B37" s="3"/>
      <c r="C37" s="2" t="s">
        <v>18</v>
      </c>
      <c r="D37" s="2" t="s">
        <v>19</v>
      </c>
      <c r="E37" s="2" t="s">
        <v>20</v>
      </c>
      <c r="F37" s="2" t="s">
        <v>15</v>
      </c>
      <c r="G37" s="2" t="s">
        <v>16</v>
      </c>
      <c r="H37" s="2" t="s">
        <v>17</v>
      </c>
      <c r="I37" s="2" t="s">
        <v>11</v>
      </c>
      <c r="J37" s="1" t="s">
        <v>21</v>
      </c>
      <c r="O37" s="10"/>
      <c r="P37" s="19" t="s">
        <v>27</v>
      </c>
      <c r="Q37" s="20" t="s">
        <v>28</v>
      </c>
      <c r="R37" s="20" t="s">
        <v>29</v>
      </c>
    </row>
    <row r="38" spans="2:27" ht="18.75" x14ac:dyDescent="0.3">
      <c r="B38" s="10" t="s">
        <v>22</v>
      </c>
      <c r="C38" s="21">
        <f>AVERAGE(Z4:Z12)</f>
        <v>0.51532993065689725</v>
      </c>
      <c r="D38" s="22">
        <f>AVERAGE(Z13:Z21)</f>
        <v>0.61612391349941609</v>
      </c>
      <c r="E38" s="21">
        <f>AVERAGE(Z22:Z30)</f>
        <v>0.59462136052189174</v>
      </c>
      <c r="F38" s="21">
        <f>MAX(C38:E38)</f>
        <v>0.61612391349941609</v>
      </c>
      <c r="G38" s="21">
        <f>MIN(C38:E38)</f>
        <v>0.51532993065689725</v>
      </c>
      <c r="H38" s="21">
        <f>F38-G38</f>
        <v>0.10079398284251884</v>
      </c>
      <c r="I38" s="3"/>
      <c r="J38" s="34">
        <f>AVERAGE(C38:E40)</f>
        <v>0.57535840155940166</v>
      </c>
      <c r="O38" s="10" t="s">
        <v>22</v>
      </c>
      <c r="P38" s="10">
        <v>105</v>
      </c>
      <c r="Q38" s="10">
        <v>105</v>
      </c>
      <c r="R38" s="10">
        <v>105</v>
      </c>
    </row>
    <row r="39" spans="2:27" ht="18.75" x14ac:dyDescent="0.3">
      <c r="B39" s="10" t="s">
        <v>24</v>
      </c>
      <c r="C39" s="21">
        <f>AVERAGE(Z4:Z6,Z13:Z15,Z22:Z24)</f>
        <v>0.54415664549454201</v>
      </c>
      <c r="D39" s="21">
        <f>AVERAGE(Z7:Z9,Z16:Z18,Z25:Z27)</f>
        <v>0.53645411389726316</v>
      </c>
      <c r="E39" s="22">
        <f>AVERAGE(Z10:Z12,Z19:Z21,Z28:Z30)</f>
        <v>0.64546444528639979</v>
      </c>
      <c r="F39" s="21">
        <f t="shared" ref="F39:F40" si="14">MAX(C39:E39)</f>
        <v>0.64546444528639979</v>
      </c>
      <c r="G39" s="21">
        <f t="shared" ref="G39:G40" si="15">MIN(C39:E39)</f>
        <v>0.53645411389726316</v>
      </c>
      <c r="H39" s="21">
        <f t="shared" ref="H39:H40" si="16">F39-G39</f>
        <v>0.10901033138913663</v>
      </c>
      <c r="I39" s="3"/>
      <c r="J39" s="34"/>
      <c r="O39" s="10" t="s">
        <v>24</v>
      </c>
      <c r="P39" s="10">
        <v>6</v>
      </c>
      <c r="Q39" s="10">
        <v>6</v>
      </c>
      <c r="R39" s="10">
        <v>6</v>
      </c>
    </row>
    <row r="40" spans="2:27" ht="18.75" x14ac:dyDescent="0.3">
      <c r="B40" s="10" t="s">
        <v>23</v>
      </c>
      <c r="C40" s="22">
        <f>AVERAGE(Z4,Z7,Z10,Z13,Z16,Z19,Z22,Z25,Z28)</f>
        <v>0.58229823044491058</v>
      </c>
      <c r="D40" s="21">
        <f>AVERAGE(Z5,Z8,Z11,Z14,Z17,Z20,Z23,Z26,Z29)</f>
        <v>0.56182726946973494</v>
      </c>
      <c r="E40" s="21">
        <f>AVERAGE(Z6,Z9,Z12,Z15,Z18,Z21,Z24,Z27,Z30)</f>
        <v>0.58194970476355956</v>
      </c>
      <c r="F40" s="21">
        <f t="shared" si="14"/>
        <v>0.58229823044491058</v>
      </c>
      <c r="G40" s="21">
        <f t="shared" si="15"/>
        <v>0.56182726946973494</v>
      </c>
      <c r="H40" s="21">
        <f t="shared" si="16"/>
        <v>2.0470960975175645E-2</v>
      </c>
      <c r="I40" s="3"/>
      <c r="J40" s="34"/>
      <c r="O40" s="10" t="s">
        <v>23</v>
      </c>
      <c r="P40" s="10">
        <v>1.5</v>
      </c>
      <c r="Q40" s="10">
        <v>0.5</v>
      </c>
      <c r="R40" s="10">
        <v>0.5</v>
      </c>
    </row>
    <row r="42" spans="2:27" ht="18.75" x14ac:dyDescent="0.3">
      <c r="F42" s="23">
        <f>J38+((F38-J38)+(F39-J38)+(F40-J38))</f>
        <v>0.69316978611192315</v>
      </c>
      <c r="O42" s="10" t="s">
        <v>30</v>
      </c>
      <c r="P42" s="10">
        <v>0.68979999999999997</v>
      </c>
      <c r="Q42" s="10">
        <v>0.69320000000000004</v>
      </c>
      <c r="R42" s="10">
        <v>0.70909999999999995</v>
      </c>
    </row>
    <row r="45" spans="2:27" x14ac:dyDescent="0.25">
      <c r="L45" s="6"/>
    </row>
  </sheetData>
  <sortState ref="AC4:AC30">
    <sortCondition descending="1" ref="AC4:AC30"/>
  </sortState>
  <mergeCells count="7">
    <mergeCell ref="R2:U2"/>
    <mergeCell ref="V2:Y2"/>
    <mergeCell ref="J38:J40"/>
    <mergeCell ref="C2:E2"/>
    <mergeCell ref="F2:I2"/>
    <mergeCell ref="J2:M2"/>
    <mergeCell ref="N2:Q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Micro-WEDM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Windows User</cp:lastModifiedBy>
  <cp:lastPrinted>2023-09-07T06:13:22Z</cp:lastPrinted>
  <dcterms:created xsi:type="dcterms:W3CDTF">2015-06-05T18:17:20Z</dcterms:created>
  <dcterms:modified xsi:type="dcterms:W3CDTF">2024-04-30T09:13:26Z</dcterms:modified>
</cp:coreProperties>
</file>